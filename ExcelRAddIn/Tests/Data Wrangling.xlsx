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rojects\C#\Office\Office365 AddIns\ExcelRAddIn\Tests\"/>
    </mc:Choice>
  </mc:AlternateContent>
  <xr:revisionPtr revIDLastSave="0" documentId="13_ncr:1_{60B8A0B7-CFEC-4701-904D-AC6814005ACA}" xr6:coauthVersionLast="47" xr6:coauthVersionMax="47" xr10:uidLastSave="{00000000-0000-0000-0000-000000000000}"/>
  <bookViews>
    <workbookView xWindow="-108" yWindow="-108" windowWidth="23256" windowHeight="12456" activeTab="5" xr2:uid="{5003AA1E-52FB-411B-9B31-43F0075F6D84}"/>
  </bookViews>
  <sheets>
    <sheet name="References" sheetId="1" r:id="rId1"/>
    <sheet name="Libraries" sheetId="3" r:id="rId2"/>
    <sheet name="Movie Data" sheetId="2" r:id="rId3"/>
    <sheet name="Summary Statistics" sheetId="4" r:id="rId4"/>
    <sheet name="Plots" sheetId="5" r:id="rId5"/>
    <sheet name="Dat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 a="1"/>
  <c r="D85" i="4" a="1"/>
  <c r="D57" i="4" a="1"/>
  <c r="D29" i="4" a="1"/>
  <c r="D20" i="4" a="1"/>
  <c r="D17" i="4" a="1"/>
  <c r="D16" i="4" a="1"/>
  <c r="D10" i="4" a="1"/>
  <c r="D2" i="4" a="1"/>
  <c r="K13" i="2" a="1"/>
  <c r="K5" i="2" a="1"/>
  <c r="B5" i="2" a="1"/>
  <c r="B3" i="2"/>
  <c r="D4" i="3" a="1"/>
  <c r="D3" i="3" a="1"/>
  <c r="D2" i="3" a="1"/>
  <c r="E3" i="6"/>
  <c r="F20" i="4" a="1"/>
  <c r="D18" i="4" a="1"/>
  <c r="C26" i="6" a="1"/>
  <c r="C23" i="6" a="1"/>
  <c r="C31" i="6" a="1"/>
  <c r="C28" i="6" a="1"/>
  <c r="C19" i="6" a="1"/>
  <c r="C20" i="6" a="1"/>
  <c r="C18" i="6" a="1"/>
  <c r="C17" i="6" a="1"/>
  <c r="C15" i="6" a="1"/>
  <c r="C14" i="6" a="1"/>
  <c r="C13" i="6" a="1"/>
  <c r="C11" i="6" a="1"/>
  <c r="C9" i="6" a="1"/>
  <c r="C7" i="6" a="1"/>
  <c r="C6" i="6" a="1"/>
  <c r="C45" i="5" a="1"/>
  <c r="C27" i="5" a="1"/>
  <c r="D5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<sst xmlns="http://schemas.openxmlformats.org/spreadsheetml/2006/main" count="39" uniqueCount="38">
  <si>
    <t>Why should I use R: The Excel R Data Wrangling comparison: Part 1 (jumpingrivers.com)</t>
  </si>
  <si>
    <t>library(tidyverse)</t>
  </si>
  <si>
    <t>library(readr)</t>
  </si>
  <si>
    <t>path</t>
  </si>
  <si>
    <t>https://jumpingrivers.com/blog/comparing-r-excel-data-wrangling/movies.csv</t>
  </si>
  <si>
    <t>head(movies_data)</t>
  </si>
  <si>
    <t>tail(movies_data)</t>
  </si>
  <si>
    <t>summary(movies_data)</t>
  </si>
  <si>
    <t>names(movies_data)</t>
  </si>
  <si>
    <t>sd(movies_data$Highest_profit)</t>
  </si>
  <si>
    <t>min(movies_data$Highest_profit)</t>
  </si>
  <si>
    <t>max(movies_data$Highest_profit)</t>
  </si>
  <si>
    <t>movies_data = rename_with(movies_data, tolower)</t>
  </si>
  <si>
    <t>arrange(movies_data, no_employees)</t>
  </si>
  <si>
    <t>movies_data %&gt;% 
  select(country, year, number_movies, highest_profit) %&gt;% 
  mutate(complete_profit = round(highest_profit/number_movies, 2))</t>
  </si>
  <si>
    <t>filter(movies_data, year == 2021)</t>
  </si>
  <si>
    <t>plot(ggplot(data = movies_data, aes(x = Year, y = no_employees)) +
  geom_point() +
  facet_wrap(~Country, ncol = 4) +
  labs(x = "Years", 
       y = "Number of employees") +
  theme_bw() +
  theme(axis.text.x = element_text(angle = 45, vjust = 1, hjust = 1)))</t>
  </si>
  <si>
    <t>plot(ggplot(data = movies_data, aes(x = Highest_profit)) +
  geom_histogram(aes(fill = Country)) +
  labs(x = "Yearly profit (in million dollars)", y = "Count") +
  scale_fill_viridis(discrete = T) +
  theme_classic()+
  labs(colour = "Country") +
  theme(
    axis.text = element_text(size = 10, colour = "black", family = "serif")
  ))</t>
  </si>
  <si>
    <t>library(viridis)</t>
  </si>
  <si>
    <t>start_date</t>
  </si>
  <si>
    <t>end_date</t>
  </si>
  <si>
    <t>difference</t>
  </si>
  <si>
    <t>start_date = as_date("2023-01-18")</t>
  </si>
  <si>
    <t>end_date = as_date("2023-05-16")</t>
  </si>
  <si>
    <t>diff_date = interval(start_date, end_date) |&gt;
  as.duration() |&gt;
  as.numeric(unit = "days")</t>
  </si>
  <si>
    <t>diff_date</t>
  </si>
  <si>
    <t>date = lubridate::as_date("2023-05-16")</t>
  </si>
  <si>
    <t>date_formatted = format(date, "%d-%b-%Y")</t>
  </si>
  <si>
    <t>date_formatted</t>
  </si>
  <si>
    <t>my_date = lubridate::as_date("2023-05-16")</t>
  </si>
  <si>
    <t>year(my_date)</t>
  </si>
  <si>
    <t>month(my_date)</t>
  </si>
  <si>
    <t>day(my_date)</t>
  </si>
  <si>
    <t>movie_data = movie_data |&gt;
  mutate(start_date = as_date(start_date),
         end_date = as_date(end_date),
         duration = as.numeric(end_date - start_date))</t>
  </si>
  <si>
    <t>average_duration = movie_data |&gt;
  group_by(Country) |&gt;
  summarise(average_duration = mean(duration, na.rm = TRUE))</t>
  </si>
  <si>
    <t>movie_data</t>
  </si>
  <si>
    <t>movie_data &lt;- read_csv('https://jumpingrivers.com/blog/comparing-r-excel-data-wrangling/blog-data.csv')</t>
  </si>
  <si>
    <t>plot(ggplot(data = movies_data, aes(x = year, y = no_employees)) +
  geom_point(aes(colour = country)) +
  labs(x = "Years", 
       y = "Number of employees",
       colour = "country") +
  theme_bw())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</si>
</sst>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91440</xdr:colOff>
      <xdr:row>4</xdr:row>
      <xdr:rowOff>30480</xdr:rowOff>
    </xdr:from>
    <xdr:to>
      <xdr:col>12</xdr:col>
      <xdr:colOff>152400</xdr:colOff>
      <xdr:row>26</xdr:row>
      <xdr:rowOff>335280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7C6571-419A-A1B3-8C65-4FAE76940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0380" y="1676400"/>
          <a:ext cx="4328160" cy="432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548640</xdr:colOff>
      <xdr:row>24</xdr:row>
      <xdr:rowOff>137160</xdr:rowOff>
    </xdr:from>
    <xdr:to>
      <xdr:col>11</xdr:col>
      <xdr:colOff>259080</xdr:colOff>
      <xdr:row>40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CF1C0F-34EC-1C9E-7253-C7AA7C605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7980" y="5440680"/>
          <a:ext cx="3977640" cy="397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594360</xdr:colOff>
      <xdr:row>41</xdr:row>
      <xdr:rowOff>99060</xdr:rowOff>
    </xdr:from>
    <xdr:to>
      <xdr:col>11</xdr:col>
      <xdr:colOff>396240</xdr:colOff>
      <xdr:row>55</xdr:row>
      <xdr:rowOff>144780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8199F6-C836-DC51-4B2B-04106EA70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9608820"/>
          <a:ext cx="4069080" cy="406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umpingrivers.com/blog/comparing-r-excel-data-wrangling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EC1B-E3F8-45B1-89D4-44EAEDC558CB}">
  <dimension ref="B2"/>
  <sheetViews>
    <sheetView workbookViewId="0">
      <selection activeCell="B3" sqref="B3"/>
    </sheetView>
  </sheetViews>
  <sheetFormatPr defaultRowHeight="14.4" x14ac:dyDescent="0.3"/>
  <sheetData>
    <row r="2" spans="2:2" x14ac:dyDescent="0.3">
      <c r="B2" s="1" t="s">
        <v>0</v>
      </c>
    </row>
  </sheetData>
  <hyperlinks>
    <hyperlink ref="B2" r:id="rId1" location=":~:text=It%20is%20very%20well%20known,of%20data%2C%20but%20not%20much." display="https://www.jumpingrivers.com/blog/comparing-r-excel-data-wrangling/ - :~:text=It%20is%20very%20well%20known,of%20data%2C%20but%20not%20much." xr:uid="{33332AD8-8CB6-4111-B2ED-E96D5FB24BA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3317-D946-4322-9CB8-4E6BA5495368}">
  <dimension ref="B2:D4"/>
  <sheetViews>
    <sheetView workbookViewId="0">
      <selection activeCell="B4" sqref="B4"/>
    </sheetView>
  </sheetViews>
  <sheetFormatPr defaultRowHeight="14.4" x14ac:dyDescent="0.3"/>
  <cols>
    <col min="2" max="2" width="14.6640625" bestFit="1" customWidth="1"/>
  </cols>
  <sheetData>
    <row r="2" spans="2:4" x14ac:dyDescent="0.3">
      <c r="B2" t="s">
        <v>1</v>
      </c>
      <c r="D2" t="str" cm="1">
        <f t="array" ref="D2">_xll.RScript.Evaluate(B2, TRUE)</f>
        <v>OK</v>
      </c>
    </row>
    <row r="3" spans="2:4" x14ac:dyDescent="0.3">
      <c r="B3" t="s">
        <v>2</v>
      </c>
      <c r="D3" t="str" cm="1">
        <f t="array" ref="D3">_xll.RScript.Evaluate(B3, TRUE)</f>
        <v>OK</v>
      </c>
    </row>
    <row r="4" spans="2:4" x14ac:dyDescent="0.3">
      <c r="B4" t="s">
        <v>18</v>
      </c>
      <c r="D4" t="str" cm="1">
        <f t="array" ref="D4">_xll.RScript.Evaluate(B4, TRUE)</f>
        <v>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5AFF-29B0-427A-8C7A-BE5401A9D249}">
  <dimension ref="B2:P31"/>
  <sheetViews>
    <sheetView workbookViewId="0">
      <selection activeCell="K15" sqref="K15"/>
    </sheetView>
  </sheetViews>
  <sheetFormatPr defaultRowHeight="14.4" x14ac:dyDescent="0.3"/>
  <cols>
    <col min="5" max="5" width="10.88671875" bestFit="1" customWidth="1"/>
    <col min="6" max="6" width="9.77734375" customWidth="1"/>
    <col min="7" max="7" width="12.5546875" bestFit="1" customWidth="1"/>
    <col min="12" max="12" width="12.33203125" customWidth="1"/>
    <col min="13" max="13" width="10" customWidth="1"/>
    <col min="14" max="14" width="12.5546875" bestFit="1" customWidth="1"/>
    <col min="15" max="15" width="14.44140625" bestFit="1" customWidth="1"/>
    <col min="16" max="16" width="12.88671875" bestFit="1" customWidth="1"/>
  </cols>
  <sheetData>
    <row r="2" spans="2:16" x14ac:dyDescent="0.3">
      <c r="B2" t="s">
        <v>3</v>
      </c>
      <c r="C2" t="s">
        <v>4</v>
      </c>
    </row>
    <row r="3" spans="2:16" x14ac:dyDescent="0.3">
      <c r="B3" t="str">
        <f>"movies_data = read_csv('"&amp;C2&amp;"')"</f>
        <v>movies_data = read_csv('https://jumpingrivers.com/blog/comparing-r-excel-data-wrangling/movies.csv')</v>
      </c>
    </row>
    <row r="5" spans="2:16" x14ac:dyDescent="0.3">
      <c r="B5" t="str" cm="1">
        <f t="array" ref="B5">_xll.RScript.Evaluate(B3)</f>
        <v>movies_data</v>
      </c>
      <c r="D5" t="str" cm="1">
        <f t="array" ref="D5:I31">_xll.RScript.Evaluate(B5)</f>
        <v>Index</v>
      </c>
      <c r="E5" t="str">
        <v>Country</v>
      </c>
      <c r="F5" t="str">
        <v>Year</v>
      </c>
      <c r="G5" t="str">
        <v>Highest_profit</v>
      </c>
      <c r="H5" t="str">
        <v>Number_movies</v>
      </c>
      <c r="I5" t="str">
        <v>no_employees</v>
      </c>
      <c r="K5" t="str" cm="1">
        <f t="array" ref="K5:P11">_xll.RScript.Evaluate(B6)</f>
        <v>Index</v>
      </c>
      <c r="L5" t="str">
        <v>Country</v>
      </c>
      <c r="M5" t="str">
        <v>Year</v>
      </c>
      <c r="N5" t="str">
        <v>Highest_profit</v>
      </c>
      <c r="O5" t="str">
        <v>Number_movies</v>
      </c>
      <c r="P5" t="str">
        <v>no_employees</v>
      </c>
    </row>
    <row r="6" spans="2:16" x14ac:dyDescent="0.3">
      <c r="B6" t="s">
        <v>5</v>
      </c>
      <c r="D6" t="str">
        <v>1</v>
      </c>
      <c r="E6" t="str">
        <v>England</v>
      </c>
      <c r="F6">
        <v>2011</v>
      </c>
      <c r="G6">
        <v>100</v>
      </c>
      <c r="H6">
        <v>3</v>
      </c>
      <c r="I6">
        <v>1500</v>
      </c>
      <c r="K6" t="str">
        <v>1</v>
      </c>
      <c r="L6" t="str">
        <v>England</v>
      </c>
      <c r="M6">
        <v>2011</v>
      </c>
      <c r="N6">
        <v>100</v>
      </c>
      <c r="O6">
        <v>3</v>
      </c>
      <c r="P6">
        <v>1500</v>
      </c>
    </row>
    <row r="7" spans="2:16" x14ac:dyDescent="0.3">
      <c r="B7" t="s">
        <v>6</v>
      </c>
      <c r="D7" t="str">
        <v>2</v>
      </c>
      <c r="E7" t="str">
        <v>America</v>
      </c>
      <c r="F7">
        <v>2012</v>
      </c>
      <c r="G7">
        <v>150</v>
      </c>
      <c r="H7">
        <v>2</v>
      </c>
      <c r="I7">
        <v>2000</v>
      </c>
      <c r="K7" t="str">
        <v>2</v>
      </c>
      <c r="L7" t="str">
        <v>America</v>
      </c>
      <c r="M7">
        <v>2012</v>
      </c>
      <c r="N7">
        <v>150</v>
      </c>
      <c r="O7">
        <v>2</v>
      </c>
      <c r="P7">
        <v>2000</v>
      </c>
    </row>
    <row r="8" spans="2:16" x14ac:dyDescent="0.3">
      <c r="D8" t="str">
        <v>3</v>
      </c>
      <c r="E8" t="str">
        <v>America</v>
      </c>
      <c r="F8">
        <v>2013</v>
      </c>
      <c r="G8">
        <v>300</v>
      </c>
      <c r="H8">
        <v>4</v>
      </c>
      <c r="I8">
        <v>4000</v>
      </c>
      <c r="K8" t="str">
        <v>3</v>
      </c>
      <c r="L8" t="str">
        <v>America</v>
      </c>
      <c r="M8">
        <v>2013</v>
      </c>
      <c r="N8">
        <v>300</v>
      </c>
      <c r="O8">
        <v>4</v>
      </c>
      <c r="P8">
        <v>4000</v>
      </c>
    </row>
    <row r="9" spans="2:16" x14ac:dyDescent="0.3">
      <c r="D9" t="str">
        <v>4</v>
      </c>
      <c r="E9" t="str">
        <v>England</v>
      </c>
      <c r="F9">
        <v>2013</v>
      </c>
      <c r="G9">
        <v>130</v>
      </c>
      <c r="H9">
        <v>2</v>
      </c>
      <c r="I9">
        <v>4020</v>
      </c>
      <c r="K9" t="str">
        <v>4</v>
      </c>
      <c r="L9" t="str">
        <v>England</v>
      </c>
      <c r="M9">
        <v>2013</v>
      </c>
      <c r="N9">
        <v>130</v>
      </c>
      <c r="O9">
        <v>2</v>
      </c>
      <c r="P9">
        <v>4020</v>
      </c>
    </row>
    <row r="10" spans="2:16" x14ac:dyDescent="0.3">
      <c r="D10" t="str">
        <v>5</v>
      </c>
      <c r="E10" t="str">
        <v>South Korea</v>
      </c>
      <c r="F10">
        <v>2013</v>
      </c>
      <c r="G10">
        <v>177</v>
      </c>
      <c r="H10">
        <v>3</v>
      </c>
      <c r="I10">
        <v>5300</v>
      </c>
      <c r="K10" t="str">
        <v>5</v>
      </c>
      <c r="L10" t="str">
        <v>South Korea</v>
      </c>
      <c r="M10">
        <v>2013</v>
      </c>
      <c r="N10">
        <v>177</v>
      </c>
      <c r="O10">
        <v>3</v>
      </c>
      <c r="P10">
        <v>5300</v>
      </c>
    </row>
    <row r="11" spans="2:16" x14ac:dyDescent="0.3">
      <c r="D11" t="str">
        <v>6</v>
      </c>
      <c r="E11" t="str">
        <v>America</v>
      </c>
      <c r="F11">
        <v>2014</v>
      </c>
      <c r="G11">
        <v>350</v>
      </c>
      <c r="H11">
        <v>1</v>
      </c>
      <c r="I11">
        <v>3150</v>
      </c>
      <c r="K11" t="str">
        <v>6</v>
      </c>
      <c r="L11" t="str">
        <v>America</v>
      </c>
      <c r="M11">
        <v>2014</v>
      </c>
      <c r="N11">
        <v>350</v>
      </c>
      <c r="O11">
        <v>1</v>
      </c>
      <c r="P11">
        <v>3150</v>
      </c>
    </row>
    <row r="12" spans="2:16" x14ac:dyDescent="0.3">
      <c r="D12" t="str">
        <v>7</v>
      </c>
      <c r="E12" t="str">
        <v>South Korea</v>
      </c>
      <c r="F12">
        <v>2015</v>
      </c>
      <c r="G12">
        <v>700</v>
      </c>
      <c r="H12">
        <v>6</v>
      </c>
      <c r="I12">
        <v>6000</v>
      </c>
    </row>
    <row r="13" spans="2:16" x14ac:dyDescent="0.3">
      <c r="D13" t="str">
        <v>8</v>
      </c>
      <c r="E13" t="str">
        <v>England</v>
      </c>
      <c r="F13">
        <v>2016</v>
      </c>
      <c r="G13">
        <v>650</v>
      </c>
      <c r="H13">
        <v>2</v>
      </c>
      <c r="I13">
        <v>5000</v>
      </c>
      <c r="K13" t="str" cm="1">
        <f t="array" ref="K13:P19">_xll.RScript.Evaluate(B7)</f>
        <v>Index</v>
      </c>
      <c r="L13" t="str">
        <v>Country</v>
      </c>
      <c r="M13" t="str">
        <v>Year</v>
      </c>
      <c r="N13" t="str">
        <v>Highest_profit</v>
      </c>
      <c r="O13" t="str">
        <v>Number_movies</v>
      </c>
      <c r="P13" t="str">
        <v>no_employees</v>
      </c>
    </row>
    <row r="14" spans="2:16" x14ac:dyDescent="0.3">
      <c r="D14" t="str">
        <v>9</v>
      </c>
      <c r="E14" t="str">
        <v>America</v>
      </c>
      <c r="F14">
        <v>2016</v>
      </c>
      <c r="G14">
        <v>230</v>
      </c>
      <c r="H14">
        <v>1</v>
      </c>
      <c r="I14">
        <v>1420</v>
      </c>
      <c r="K14" t="str">
        <v>1</v>
      </c>
      <c r="L14" t="str">
        <v>England</v>
      </c>
      <c r="M14">
        <v>2021</v>
      </c>
      <c r="N14">
        <v>120</v>
      </c>
      <c r="O14">
        <v>1</v>
      </c>
      <c r="P14">
        <v>1325</v>
      </c>
    </row>
    <row r="15" spans="2:16" x14ac:dyDescent="0.3">
      <c r="D15" t="str">
        <v>10</v>
      </c>
      <c r="E15" t="str">
        <v>China</v>
      </c>
      <c r="F15">
        <v>2016</v>
      </c>
      <c r="G15">
        <v>440</v>
      </c>
      <c r="H15">
        <v>3</v>
      </c>
      <c r="I15">
        <v>5000</v>
      </c>
      <c r="K15" t="str">
        <v>2</v>
      </c>
      <c r="L15" t="str">
        <v>America</v>
      </c>
      <c r="M15">
        <v>2021</v>
      </c>
      <c r="N15">
        <v>800</v>
      </c>
      <c r="O15">
        <v>3</v>
      </c>
      <c r="P15">
        <v>6800</v>
      </c>
    </row>
    <row r="16" spans="2:16" x14ac:dyDescent="0.3">
      <c r="D16" t="str">
        <v>11</v>
      </c>
      <c r="E16" t="str">
        <v>England</v>
      </c>
      <c r="F16">
        <v>2017</v>
      </c>
      <c r="G16">
        <v>320</v>
      </c>
      <c r="H16">
        <v>2</v>
      </c>
      <c r="I16">
        <v>4502</v>
      </c>
      <c r="K16" t="str">
        <v>3</v>
      </c>
      <c r="L16" t="str">
        <v>America</v>
      </c>
      <c r="M16">
        <v>2022</v>
      </c>
      <c r="N16">
        <v>400</v>
      </c>
      <c r="O16">
        <v>2</v>
      </c>
      <c r="P16">
        <v>7200</v>
      </c>
    </row>
    <row r="17" spans="4:16" x14ac:dyDescent="0.3">
      <c r="D17" t="str">
        <v>12</v>
      </c>
      <c r="E17" t="str">
        <v>America</v>
      </c>
      <c r="F17">
        <v>2017</v>
      </c>
      <c r="G17">
        <v>430</v>
      </c>
      <c r="H17">
        <v>3</v>
      </c>
      <c r="I17">
        <v>5700</v>
      </c>
      <c r="K17" t="str">
        <v>4</v>
      </c>
      <c r="L17" t="str">
        <v>China</v>
      </c>
      <c r="M17">
        <v>2021</v>
      </c>
      <c r="N17">
        <v>230</v>
      </c>
      <c r="O17">
        <v>2</v>
      </c>
      <c r="P17">
        <v>3101</v>
      </c>
    </row>
    <row r="18" spans="4:16" x14ac:dyDescent="0.3">
      <c r="D18" t="str">
        <v>13</v>
      </c>
      <c r="E18" t="str">
        <v>South Korea</v>
      </c>
      <c r="F18">
        <v>2018</v>
      </c>
      <c r="G18">
        <v>500</v>
      </c>
      <c r="H18">
        <v>3</v>
      </c>
      <c r="I18">
        <v>6800</v>
      </c>
      <c r="K18" t="str">
        <v>5</v>
      </c>
      <c r="L18" t="str">
        <v>South Korea</v>
      </c>
      <c r="M18">
        <v>2022</v>
      </c>
      <c r="N18">
        <v>320</v>
      </c>
      <c r="O18">
        <v>1</v>
      </c>
      <c r="P18">
        <v>4300</v>
      </c>
    </row>
    <row r="19" spans="4:16" x14ac:dyDescent="0.3">
      <c r="D19" t="str">
        <v>14</v>
      </c>
      <c r="E19" t="str">
        <v>China</v>
      </c>
      <c r="F19">
        <v>2019</v>
      </c>
      <c r="G19">
        <v>600</v>
      </c>
      <c r="H19">
        <v>1</v>
      </c>
      <c r="I19">
        <v>6500</v>
      </c>
      <c r="K19" t="str">
        <v>6</v>
      </c>
      <c r="L19" t="str">
        <v>England</v>
      </c>
      <c r="M19">
        <v>2022</v>
      </c>
      <c r="N19">
        <v>221</v>
      </c>
      <c r="O19">
        <v>2</v>
      </c>
      <c r="P19">
        <v>3999</v>
      </c>
    </row>
    <row r="20" spans="4:16" x14ac:dyDescent="0.3">
      <c r="D20" t="str">
        <v>15</v>
      </c>
      <c r="E20" t="str">
        <v>America</v>
      </c>
      <c r="F20">
        <v>2020</v>
      </c>
      <c r="G20">
        <v>500</v>
      </c>
      <c r="H20">
        <v>4</v>
      </c>
      <c r="I20">
        <v>7000</v>
      </c>
    </row>
    <row r="21" spans="4:16" x14ac:dyDescent="0.3">
      <c r="D21" t="str">
        <v>16</v>
      </c>
      <c r="E21" t="str">
        <v>America</v>
      </c>
      <c r="F21">
        <v>2021</v>
      </c>
      <c r="G21">
        <v>800</v>
      </c>
      <c r="H21">
        <v>3</v>
      </c>
      <c r="I21">
        <v>6800</v>
      </c>
    </row>
    <row r="22" spans="4:16" x14ac:dyDescent="0.3">
      <c r="D22" t="str">
        <v>17</v>
      </c>
      <c r="E22" t="str">
        <v>England</v>
      </c>
      <c r="F22">
        <v>2020</v>
      </c>
      <c r="G22">
        <v>120</v>
      </c>
      <c r="H22">
        <v>5</v>
      </c>
      <c r="I22">
        <v>1325</v>
      </c>
    </row>
    <row r="23" spans="4:16" x14ac:dyDescent="0.3">
      <c r="D23" t="str">
        <v>18</v>
      </c>
      <c r="E23" t="str">
        <v>America</v>
      </c>
      <c r="F23">
        <v>2022</v>
      </c>
      <c r="G23">
        <v>400</v>
      </c>
      <c r="H23">
        <v>2</v>
      </c>
      <c r="I23">
        <v>7200</v>
      </c>
    </row>
    <row r="24" spans="4:16" x14ac:dyDescent="0.3">
      <c r="D24" t="str">
        <v>19</v>
      </c>
      <c r="E24" t="str">
        <v>America</v>
      </c>
      <c r="F24">
        <v>2011</v>
      </c>
      <c r="G24">
        <v>100</v>
      </c>
      <c r="H24">
        <v>3</v>
      </c>
      <c r="I24">
        <v>1500</v>
      </c>
    </row>
    <row r="25" spans="4:16" x14ac:dyDescent="0.3">
      <c r="D25" t="str">
        <v>20</v>
      </c>
      <c r="E25" t="str">
        <v>South Korea</v>
      </c>
      <c r="F25">
        <v>2012</v>
      </c>
      <c r="G25">
        <v>11</v>
      </c>
      <c r="H25">
        <v>5</v>
      </c>
      <c r="I25">
        <v>1333</v>
      </c>
    </row>
    <row r="26" spans="4:16" x14ac:dyDescent="0.3">
      <c r="D26" t="str">
        <v>21</v>
      </c>
      <c r="E26" t="str">
        <v>England</v>
      </c>
      <c r="F26">
        <v>2021</v>
      </c>
      <c r="G26">
        <v>120</v>
      </c>
      <c r="H26">
        <v>1</v>
      </c>
      <c r="I26">
        <v>1325</v>
      </c>
    </row>
    <row r="27" spans="4:16" x14ac:dyDescent="0.3">
      <c r="D27" t="str">
        <v>22</v>
      </c>
      <c r="E27" t="str">
        <v>America</v>
      </c>
      <c r="F27">
        <v>2021</v>
      </c>
      <c r="G27">
        <v>800</v>
      </c>
      <c r="H27">
        <v>3</v>
      </c>
      <c r="I27">
        <v>6800</v>
      </c>
    </row>
    <row r="28" spans="4:16" x14ac:dyDescent="0.3">
      <c r="D28" t="str">
        <v>23</v>
      </c>
      <c r="E28" t="str">
        <v>America</v>
      </c>
      <c r="F28">
        <v>2022</v>
      </c>
      <c r="G28">
        <v>400</v>
      </c>
      <c r="H28">
        <v>2</v>
      </c>
      <c r="I28">
        <v>7200</v>
      </c>
    </row>
    <row r="29" spans="4:16" x14ac:dyDescent="0.3">
      <c r="D29" t="str">
        <v>24</v>
      </c>
      <c r="E29" t="str">
        <v>China</v>
      </c>
      <c r="F29">
        <v>2021</v>
      </c>
      <c r="G29">
        <v>230</v>
      </c>
      <c r="H29">
        <v>2</v>
      </c>
      <c r="I29">
        <v>3101</v>
      </c>
    </row>
    <row r="30" spans="4:16" x14ac:dyDescent="0.3">
      <c r="D30" t="str">
        <v>25</v>
      </c>
      <c r="E30" t="str">
        <v>South Korea</v>
      </c>
      <c r="F30">
        <v>2022</v>
      </c>
      <c r="G30">
        <v>320</v>
      </c>
      <c r="H30">
        <v>1</v>
      </c>
      <c r="I30">
        <v>4300</v>
      </c>
    </row>
    <row r="31" spans="4:16" x14ac:dyDescent="0.3">
      <c r="D31" t="str">
        <v>26</v>
      </c>
      <c r="E31" t="str">
        <v>England</v>
      </c>
      <c r="F31">
        <v>2022</v>
      </c>
      <c r="G31">
        <v>221</v>
      </c>
      <c r="H31">
        <v>2</v>
      </c>
      <c r="I31">
        <v>3999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11F4-594E-4D18-BD50-43D507B3EE5E}">
  <dimension ref="B2:K89"/>
  <sheetViews>
    <sheetView topLeftCell="A75" workbookViewId="0">
      <selection activeCell="B87" sqref="B87"/>
    </sheetView>
  </sheetViews>
  <sheetFormatPr defaultRowHeight="14.4" x14ac:dyDescent="0.3"/>
  <cols>
    <col min="2" max="2" width="36.21875" customWidth="1"/>
    <col min="4" max="4" width="16" bestFit="1" customWidth="1"/>
    <col min="5" max="5" width="13.109375" bestFit="1" customWidth="1"/>
    <col min="6" max="7" width="13.6640625" bestFit="1" customWidth="1"/>
    <col min="8" max="8" width="13.109375" bestFit="1" customWidth="1"/>
    <col min="9" max="9" width="15.33203125" customWidth="1"/>
    <col min="10" max="10" width="14.109375" bestFit="1" customWidth="1"/>
  </cols>
  <sheetData>
    <row r="2" spans="2:8" x14ac:dyDescent="0.3">
      <c r="B2" t="s">
        <v>7</v>
      </c>
      <c r="D2" t="str" cm="1">
        <f t="array" ref="D2:H7">_xll.RScript.Evaluate(B2)</f>
        <v xml:space="preserve">Length:26         </v>
      </c>
      <c r="E2" t="str">
        <v xml:space="preserve">Min.   :2011  </v>
      </c>
      <c r="F2" t="str">
        <v xml:space="preserve">Min.   : 11.0  </v>
      </c>
      <c r="G2" t="str">
        <v xml:space="preserve">Min.   :1.000  </v>
      </c>
      <c r="H2" t="str">
        <v xml:space="preserve">Min.   :1325  </v>
      </c>
    </row>
    <row r="3" spans="2:8" x14ac:dyDescent="0.3">
      <c r="D3" t="str">
        <v xml:space="preserve">Class :character  </v>
      </c>
      <c r="E3" t="str">
        <v xml:space="preserve">1st Qu.:2013  </v>
      </c>
      <c r="F3" t="str">
        <v xml:space="preserve">1st Qu.:156.8  </v>
      </c>
      <c r="G3" t="str">
        <v xml:space="preserve">1st Qu.:2.000  </v>
      </c>
      <c r="H3" t="str">
        <v xml:space="preserve">1st Qu.:2275  </v>
      </c>
    </row>
    <row r="4" spans="2:8" x14ac:dyDescent="0.3">
      <c r="D4" t="str">
        <v xml:space="preserve">Mode  :character  </v>
      </c>
      <c r="E4" t="str">
        <v xml:space="preserve">Median :2017  </v>
      </c>
      <c r="F4" t="str">
        <v xml:space="preserve">Median :320.0  </v>
      </c>
      <c r="G4" t="str">
        <v xml:space="preserve">Median :2.500  </v>
      </c>
      <c r="H4" t="str">
        <v xml:space="preserve">Median :4401  </v>
      </c>
    </row>
    <row r="5" spans="2:8" x14ac:dyDescent="0.3">
      <c r="D5" t="str">
        <v>NA</v>
      </c>
      <c r="E5" t="str">
        <v xml:space="preserve">Mean   :2017  </v>
      </c>
      <c r="F5" t="str">
        <v xml:space="preserve">Mean   :350.0  </v>
      </c>
      <c r="G5" t="str">
        <v xml:space="preserve">Mean   :2.654  </v>
      </c>
      <c r="H5" t="str">
        <v xml:space="preserve">Mean   :4338  </v>
      </c>
    </row>
    <row r="6" spans="2:8" x14ac:dyDescent="0.3">
      <c r="D6" t="str">
        <v>NA</v>
      </c>
      <c r="E6" t="str">
        <v xml:space="preserve">3rd Qu.:2021  </v>
      </c>
      <c r="F6" t="str">
        <v xml:space="preserve">3rd Qu.:485.0  </v>
      </c>
      <c r="G6" t="str">
        <v xml:space="preserve">3rd Qu.:3.000  </v>
      </c>
      <c r="H6" t="str">
        <v xml:space="preserve">3rd Qu.:6375  </v>
      </c>
    </row>
    <row r="7" spans="2:8" x14ac:dyDescent="0.3">
      <c r="D7" t="str">
        <v>NA</v>
      </c>
      <c r="E7" t="str">
        <v xml:space="preserve">Max.   :2022  </v>
      </c>
      <c r="F7" t="str">
        <v xml:space="preserve">Max.   :800.0  </v>
      </c>
      <c r="G7" t="str">
        <v xml:space="preserve">Max.   :6.000  </v>
      </c>
      <c r="H7" t="str">
        <v xml:space="preserve">Max.   :7200  </v>
      </c>
    </row>
    <row r="10" spans="2:8" x14ac:dyDescent="0.3">
      <c r="B10" t="s">
        <v>8</v>
      </c>
      <c r="D10" t="str" cm="1">
        <f t="array" ref="D10:D14">_xll.RScript.Evaluate(B10)</f>
        <v>Country</v>
      </c>
    </row>
    <row r="11" spans="2:8" x14ac:dyDescent="0.3">
      <c r="D11" t="str">
        <v>Year</v>
      </c>
    </row>
    <row r="12" spans="2:8" x14ac:dyDescent="0.3">
      <c r="D12" t="str">
        <v>Highest_profit</v>
      </c>
    </row>
    <row r="13" spans="2:8" x14ac:dyDescent="0.3">
      <c r="D13" t="str">
        <v>Number_movies</v>
      </c>
    </row>
    <row r="14" spans="2:8" x14ac:dyDescent="0.3">
      <c r="D14" t="str">
        <v>no_employees</v>
      </c>
    </row>
    <row r="16" spans="2:8" x14ac:dyDescent="0.3">
      <c r="B16" t="s">
        <v>9</v>
      </c>
      <c r="D16" cm="1">
        <f t="array" ref="D16">_xll.RScript.Evaluate(B16)</f>
        <v>224.34713829585272</v>
      </c>
    </row>
    <row r="17" spans="2:11" x14ac:dyDescent="0.3">
      <c r="B17" t="s">
        <v>10</v>
      </c>
      <c r="D17" cm="1">
        <f t="array" ref="D17">_xll.RScript.Evaluate(B17)</f>
        <v>11</v>
      </c>
    </row>
    <row r="18" spans="2:11" x14ac:dyDescent="0.3">
      <c r="B18" t="s">
        <v>11</v>
      </c>
      <c r="D18" cm="1">
        <f t="array" ref="D18">_xll.RScript.Evaluate(B18)</f>
        <v>800</v>
      </c>
    </row>
    <row r="20" spans="2:11" x14ac:dyDescent="0.3">
      <c r="B20" t="s">
        <v>12</v>
      </c>
      <c r="D20" t="str" cm="1">
        <f t="array" ref="D20">_xll.RScript.Evaluate(B20)</f>
        <v>movies_data</v>
      </c>
      <c r="E20" t="s">
        <v>5</v>
      </c>
      <c r="F20" t="str" cm="1">
        <f t="array" ref="F20:K26">_xll.RScript.Evaluate(E20)</f>
        <v>Index</v>
      </c>
      <c r="G20" t="str">
        <v>country</v>
      </c>
      <c r="H20" t="str">
        <v>year</v>
      </c>
      <c r="I20" t="str">
        <v>highest_profit</v>
      </c>
      <c r="J20" t="str">
        <v>number_movies</v>
      </c>
      <c r="K20" t="str">
        <v>no_employees</v>
      </c>
    </row>
    <row r="21" spans="2:11" x14ac:dyDescent="0.3">
      <c r="F21" t="str">
        <v>1</v>
      </c>
      <c r="G21" t="str">
        <v>England</v>
      </c>
      <c r="H21">
        <v>2011</v>
      </c>
      <c r="I21">
        <v>100</v>
      </c>
      <c r="J21">
        <v>3</v>
      </c>
      <c r="K21">
        <v>1500</v>
      </c>
    </row>
    <row r="22" spans="2:11" x14ac:dyDescent="0.3">
      <c r="F22" t="str">
        <v>2</v>
      </c>
      <c r="G22" t="str">
        <v>America</v>
      </c>
      <c r="H22">
        <v>2012</v>
      </c>
      <c r="I22">
        <v>150</v>
      </c>
      <c r="J22">
        <v>2</v>
      </c>
      <c r="K22">
        <v>2000</v>
      </c>
    </row>
    <row r="23" spans="2:11" x14ac:dyDescent="0.3">
      <c r="F23" t="str">
        <v>3</v>
      </c>
      <c r="G23" t="str">
        <v>America</v>
      </c>
      <c r="H23">
        <v>2013</v>
      </c>
      <c r="I23">
        <v>300</v>
      </c>
      <c r="J23">
        <v>4</v>
      </c>
      <c r="K23">
        <v>4000</v>
      </c>
    </row>
    <row r="24" spans="2:11" x14ac:dyDescent="0.3">
      <c r="F24" t="str">
        <v>4</v>
      </c>
      <c r="G24" t="str">
        <v>England</v>
      </c>
      <c r="H24">
        <v>2013</v>
      </c>
      <c r="I24">
        <v>130</v>
      </c>
      <c r="J24">
        <v>2</v>
      </c>
      <c r="K24">
        <v>4020</v>
      </c>
    </row>
    <row r="25" spans="2:11" x14ac:dyDescent="0.3">
      <c r="F25" t="str">
        <v>5</v>
      </c>
      <c r="G25" t="str">
        <v>South Korea</v>
      </c>
      <c r="H25">
        <v>2013</v>
      </c>
      <c r="I25">
        <v>177</v>
      </c>
      <c r="J25">
        <v>3</v>
      </c>
      <c r="K25">
        <v>5300</v>
      </c>
    </row>
    <row r="26" spans="2:11" x14ac:dyDescent="0.3">
      <c r="F26" t="str">
        <v>6</v>
      </c>
      <c r="G26" t="str">
        <v>America</v>
      </c>
      <c r="H26">
        <v>2014</v>
      </c>
      <c r="I26">
        <v>350</v>
      </c>
      <c r="J26">
        <v>1</v>
      </c>
      <c r="K26">
        <v>3150</v>
      </c>
    </row>
    <row r="29" spans="2:11" x14ac:dyDescent="0.3">
      <c r="B29" t="s">
        <v>13</v>
      </c>
      <c r="D29" t="str" cm="1">
        <f t="array" ref="D29:I55">_xll.RScript.Evaluate(B29)</f>
        <v>Index</v>
      </c>
      <c r="E29" t="str">
        <v>country</v>
      </c>
      <c r="F29" t="str">
        <v>year</v>
      </c>
      <c r="G29" t="str">
        <v>highest_profit</v>
      </c>
      <c r="H29" t="str">
        <v>number_movies</v>
      </c>
      <c r="I29" t="str">
        <v>no_employees</v>
      </c>
    </row>
    <row r="30" spans="2:11" x14ac:dyDescent="0.3">
      <c r="D30" t="str">
        <v>1</v>
      </c>
      <c r="E30" t="str">
        <v>England</v>
      </c>
      <c r="F30">
        <v>2020</v>
      </c>
      <c r="G30">
        <v>120</v>
      </c>
      <c r="H30">
        <v>5</v>
      </c>
      <c r="I30">
        <v>1325</v>
      </c>
    </row>
    <row r="31" spans="2:11" x14ac:dyDescent="0.3">
      <c r="D31" t="str">
        <v>2</v>
      </c>
      <c r="E31" t="str">
        <v>England</v>
      </c>
      <c r="F31">
        <v>2021</v>
      </c>
      <c r="G31">
        <v>120</v>
      </c>
      <c r="H31">
        <v>1</v>
      </c>
      <c r="I31">
        <v>1325</v>
      </c>
    </row>
    <row r="32" spans="2:11" x14ac:dyDescent="0.3">
      <c r="D32" t="str">
        <v>3</v>
      </c>
      <c r="E32" t="str">
        <v>South Korea</v>
      </c>
      <c r="F32">
        <v>2012</v>
      </c>
      <c r="G32">
        <v>11</v>
      </c>
      <c r="H32">
        <v>5</v>
      </c>
      <c r="I32">
        <v>1333</v>
      </c>
    </row>
    <row r="33" spans="4:9" x14ac:dyDescent="0.3">
      <c r="D33" t="str">
        <v>4</v>
      </c>
      <c r="E33" t="str">
        <v>America</v>
      </c>
      <c r="F33">
        <v>2016</v>
      </c>
      <c r="G33">
        <v>230</v>
      </c>
      <c r="H33">
        <v>1</v>
      </c>
      <c r="I33">
        <v>1420</v>
      </c>
    </row>
    <row r="34" spans="4:9" x14ac:dyDescent="0.3">
      <c r="D34" t="str">
        <v>5</v>
      </c>
      <c r="E34" t="str">
        <v>England</v>
      </c>
      <c r="F34">
        <v>2011</v>
      </c>
      <c r="G34">
        <v>100</v>
      </c>
      <c r="H34">
        <v>3</v>
      </c>
      <c r="I34">
        <v>1500</v>
      </c>
    </row>
    <row r="35" spans="4:9" x14ac:dyDescent="0.3">
      <c r="D35" t="str">
        <v>6</v>
      </c>
      <c r="E35" t="str">
        <v>America</v>
      </c>
      <c r="F35">
        <v>2011</v>
      </c>
      <c r="G35">
        <v>100</v>
      </c>
      <c r="H35">
        <v>3</v>
      </c>
      <c r="I35">
        <v>1500</v>
      </c>
    </row>
    <row r="36" spans="4:9" x14ac:dyDescent="0.3">
      <c r="D36" t="str">
        <v>7</v>
      </c>
      <c r="E36" t="str">
        <v>America</v>
      </c>
      <c r="F36">
        <v>2012</v>
      </c>
      <c r="G36">
        <v>150</v>
      </c>
      <c r="H36">
        <v>2</v>
      </c>
      <c r="I36">
        <v>2000</v>
      </c>
    </row>
    <row r="37" spans="4:9" x14ac:dyDescent="0.3">
      <c r="D37" t="str">
        <v>8</v>
      </c>
      <c r="E37" t="str">
        <v>China</v>
      </c>
      <c r="F37">
        <v>2021</v>
      </c>
      <c r="G37">
        <v>230</v>
      </c>
      <c r="H37">
        <v>2</v>
      </c>
      <c r="I37">
        <v>3101</v>
      </c>
    </row>
    <row r="38" spans="4:9" x14ac:dyDescent="0.3">
      <c r="D38" t="str">
        <v>9</v>
      </c>
      <c r="E38" t="str">
        <v>America</v>
      </c>
      <c r="F38">
        <v>2014</v>
      </c>
      <c r="G38">
        <v>350</v>
      </c>
      <c r="H38">
        <v>1</v>
      </c>
      <c r="I38">
        <v>3150</v>
      </c>
    </row>
    <row r="39" spans="4:9" x14ac:dyDescent="0.3">
      <c r="D39" t="str">
        <v>10</v>
      </c>
      <c r="E39" t="str">
        <v>England</v>
      </c>
      <c r="F39">
        <v>2022</v>
      </c>
      <c r="G39">
        <v>221</v>
      </c>
      <c r="H39">
        <v>2</v>
      </c>
      <c r="I39">
        <v>3999</v>
      </c>
    </row>
    <row r="40" spans="4:9" x14ac:dyDescent="0.3">
      <c r="D40" t="str">
        <v>11</v>
      </c>
      <c r="E40" t="str">
        <v>America</v>
      </c>
      <c r="F40">
        <v>2013</v>
      </c>
      <c r="G40">
        <v>300</v>
      </c>
      <c r="H40">
        <v>4</v>
      </c>
      <c r="I40">
        <v>4000</v>
      </c>
    </row>
    <row r="41" spans="4:9" x14ac:dyDescent="0.3">
      <c r="D41" t="str">
        <v>12</v>
      </c>
      <c r="E41" t="str">
        <v>England</v>
      </c>
      <c r="F41">
        <v>2013</v>
      </c>
      <c r="G41">
        <v>130</v>
      </c>
      <c r="H41">
        <v>2</v>
      </c>
      <c r="I41">
        <v>4020</v>
      </c>
    </row>
    <row r="42" spans="4:9" x14ac:dyDescent="0.3">
      <c r="D42" t="str">
        <v>13</v>
      </c>
      <c r="E42" t="str">
        <v>South Korea</v>
      </c>
      <c r="F42">
        <v>2022</v>
      </c>
      <c r="G42">
        <v>320</v>
      </c>
      <c r="H42">
        <v>1</v>
      </c>
      <c r="I42">
        <v>4300</v>
      </c>
    </row>
    <row r="43" spans="4:9" x14ac:dyDescent="0.3">
      <c r="D43" t="str">
        <v>14</v>
      </c>
      <c r="E43" t="str">
        <v>England</v>
      </c>
      <c r="F43">
        <v>2017</v>
      </c>
      <c r="G43">
        <v>320</v>
      </c>
      <c r="H43">
        <v>2</v>
      </c>
      <c r="I43">
        <v>4502</v>
      </c>
    </row>
    <row r="44" spans="4:9" x14ac:dyDescent="0.3">
      <c r="D44" t="str">
        <v>15</v>
      </c>
      <c r="E44" t="str">
        <v>England</v>
      </c>
      <c r="F44">
        <v>2016</v>
      </c>
      <c r="G44">
        <v>650</v>
      </c>
      <c r="H44">
        <v>2</v>
      </c>
      <c r="I44">
        <v>5000</v>
      </c>
    </row>
    <row r="45" spans="4:9" x14ac:dyDescent="0.3">
      <c r="D45" t="str">
        <v>16</v>
      </c>
      <c r="E45" t="str">
        <v>China</v>
      </c>
      <c r="F45">
        <v>2016</v>
      </c>
      <c r="G45">
        <v>440</v>
      </c>
      <c r="H45">
        <v>3</v>
      </c>
      <c r="I45">
        <v>5000</v>
      </c>
    </row>
    <row r="46" spans="4:9" x14ac:dyDescent="0.3">
      <c r="D46" t="str">
        <v>17</v>
      </c>
      <c r="E46" t="str">
        <v>South Korea</v>
      </c>
      <c r="F46">
        <v>2013</v>
      </c>
      <c r="G46">
        <v>177</v>
      </c>
      <c r="H46">
        <v>3</v>
      </c>
      <c r="I46">
        <v>5300</v>
      </c>
    </row>
    <row r="47" spans="4:9" x14ac:dyDescent="0.3">
      <c r="D47" t="str">
        <v>18</v>
      </c>
      <c r="E47" t="str">
        <v>America</v>
      </c>
      <c r="F47">
        <v>2017</v>
      </c>
      <c r="G47">
        <v>430</v>
      </c>
      <c r="H47">
        <v>3</v>
      </c>
      <c r="I47">
        <v>5700</v>
      </c>
    </row>
    <row r="48" spans="4:9" x14ac:dyDescent="0.3">
      <c r="D48" t="str">
        <v>19</v>
      </c>
      <c r="E48" t="str">
        <v>South Korea</v>
      </c>
      <c r="F48">
        <v>2015</v>
      </c>
      <c r="G48">
        <v>700</v>
      </c>
      <c r="H48">
        <v>6</v>
      </c>
      <c r="I48">
        <v>6000</v>
      </c>
    </row>
    <row r="49" spans="2:9" x14ac:dyDescent="0.3">
      <c r="D49" t="str">
        <v>20</v>
      </c>
      <c r="E49" t="str">
        <v>China</v>
      </c>
      <c r="F49">
        <v>2019</v>
      </c>
      <c r="G49">
        <v>600</v>
      </c>
      <c r="H49">
        <v>1</v>
      </c>
      <c r="I49">
        <v>6500</v>
      </c>
    </row>
    <row r="50" spans="2:9" x14ac:dyDescent="0.3">
      <c r="D50" t="str">
        <v>21</v>
      </c>
      <c r="E50" t="str">
        <v>South Korea</v>
      </c>
      <c r="F50">
        <v>2018</v>
      </c>
      <c r="G50">
        <v>500</v>
      </c>
      <c r="H50">
        <v>3</v>
      </c>
      <c r="I50">
        <v>6800</v>
      </c>
    </row>
    <row r="51" spans="2:9" x14ac:dyDescent="0.3">
      <c r="D51" t="str">
        <v>22</v>
      </c>
      <c r="E51" t="str">
        <v>America</v>
      </c>
      <c r="F51">
        <v>2021</v>
      </c>
      <c r="G51">
        <v>800</v>
      </c>
      <c r="H51">
        <v>3</v>
      </c>
      <c r="I51">
        <v>6800</v>
      </c>
    </row>
    <row r="52" spans="2:9" x14ac:dyDescent="0.3">
      <c r="D52" t="str">
        <v>23</v>
      </c>
      <c r="E52" t="str">
        <v>America</v>
      </c>
      <c r="F52">
        <v>2021</v>
      </c>
      <c r="G52">
        <v>800</v>
      </c>
      <c r="H52">
        <v>3</v>
      </c>
      <c r="I52">
        <v>6800</v>
      </c>
    </row>
    <row r="53" spans="2:9" x14ac:dyDescent="0.3">
      <c r="D53" t="str">
        <v>24</v>
      </c>
      <c r="E53" t="str">
        <v>America</v>
      </c>
      <c r="F53">
        <v>2020</v>
      </c>
      <c r="G53">
        <v>500</v>
      </c>
      <c r="H53">
        <v>4</v>
      </c>
      <c r="I53">
        <v>7000</v>
      </c>
    </row>
    <row r="54" spans="2:9" x14ac:dyDescent="0.3">
      <c r="D54" t="str">
        <v>25</v>
      </c>
      <c r="E54" t="str">
        <v>America</v>
      </c>
      <c r="F54">
        <v>2022</v>
      </c>
      <c r="G54">
        <v>400</v>
      </c>
      <c r="H54">
        <v>2</v>
      </c>
      <c r="I54">
        <v>7200</v>
      </c>
    </row>
    <row r="55" spans="2:9" x14ac:dyDescent="0.3">
      <c r="D55" t="str">
        <v>26</v>
      </c>
      <c r="E55" t="str">
        <v>America</v>
      </c>
      <c r="F55">
        <v>2022</v>
      </c>
      <c r="G55">
        <v>400</v>
      </c>
      <c r="H55">
        <v>2</v>
      </c>
      <c r="I55">
        <v>7200</v>
      </c>
    </row>
    <row r="57" spans="2:9" ht="72" x14ac:dyDescent="0.3">
      <c r="B57" s="2" t="s">
        <v>14</v>
      </c>
      <c r="D57" t="str" cm="1">
        <f t="array" ref="D57:I83">_xll.RScript.Evaluate(B57)</f>
        <v>Index</v>
      </c>
      <c r="E57" t="str">
        <v>country</v>
      </c>
      <c r="F57" t="str">
        <v>year</v>
      </c>
      <c r="G57" t="str">
        <v>number_movies</v>
      </c>
      <c r="H57" t="str">
        <v>highest_profit</v>
      </c>
      <c r="I57" t="str">
        <v>complete_profit</v>
      </c>
    </row>
    <row r="58" spans="2:9" x14ac:dyDescent="0.3">
      <c r="D58" t="str">
        <v>1</v>
      </c>
      <c r="E58" t="str">
        <v>England</v>
      </c>
      <c r="F58">
        <v>2011</v>
      </c>
      <c r="G58">
        <v>3</v>
      </c>
      <c r="H58">
        <v>100</v>
      </c>
      <c r="I58">
        <v>33.33</v>
      </c>
    </row>
    <row r="59" spans="2:9" x14ac:dyDescent="0.3">
      <c r="D59" t="str">
        <v>2</v>
      </c>
      <c r="E59" t="str">
        <v>America</v>
      </c>
      <c r="F59">
        <v>2012</v>
      </c>
      <c r="G59">
        <v>2</v>
      </c>
      <c r="H59">
        <v>150</v>
      </c>
      <c r="I59">
        <v>75</v>
      </c>
    </row>
    <row r="60" spans="2:9" x14ac:dyDescent="0.3">
      <c r="D60" t="str">
        <v>3</v>
      </c>
      <c r="E60" t="str">
        <v>America</v>
      </c>
      <c r="F60">
        <v>2013</v>
      </c>
      <c r="G60">
        <v>4</v>
      </c>
      <c r="H60">
        <v>300</v>
      </c>
      <c r="I60">
        <v>75</v>
      </c>
    </row>
    <row r="61" spans="2:9" x14ac:dyDescent="0.3">
      <c r="D61" t="str">
        <v>4</v>
      </c>
      <c r="E61" t="str">
        <v>England</v>
      </c>
      <c r="F61">
        <v>2013</v>
      </c>
      <c r="G61">
        <v>2</v>
      </c>
      <c r="H61">
        <v>130</v>
      </c>
      <c r="I61">
        <v>65</v>
      </c>
    </row>
    <row r="62" spans="2:9" x14ac:dyDescent="0.3">
      <c r="D62" t="str">
        <v>5</v>
      </c>
      <c r="E62" t="str">
        <v>South Korea</v>
      </c>
      <c r="F62">
        <v>2013</v>
      </c>
      <c r="G62">
        <v>3</v>
      </c>
      <c r="H62">
        <v>177</v>
      </c>
      <c r="I62">
        <v>59</v>
      </c>
    </row>
    <row r="63" spans="2:9" x14ac:dyDescent="0.3">
      <c r="D63" t="str">
        <v>6</v>
      </c>
      <c r="E63" t="str">
        <v>America</v>
      </c>
      <c r="F63">
        <v>2014</v>
      </c>
      <c r="G63">
        <v>1</v>
      </c>
      <c r="H63">
        <v>350</v>
      </c>
      <c r="I63">
        <v>350</v>
      </c>
    </row>
    <row r="64" spans="2:9" x14ac:dyDescent="0.3">
      <c r="D64" t="str">
        <v>7</v>
      </c>
      <c r="E64" t="str">
        <v>South Korea</v>
      </c>
      <c r="F64">
        <v>2015</v>
      </c>
      <c r="G64">
        <v>6</v>
      </c>
      <c r="H64">
        <v>700</v>
      </c>
      <c r="I64">
        <v>116.67</v>
      </c>
    </row>
    <row r="65" spans="4:9" x14ac:dyDescent="0.3">
      <c r="D65" t="str">
        <v>8</v>
      </c>
      <c r="E65" t="str">
        <v>England</v>
      </c>
      <c r="F65">
        <v>2016</v>
      </c>
      <c r="G65">
        <v>2</v>
      </c>
      <c r="H65">
        <v>650</v>
      </c>
      <c r="I65">
        <v>325</v>
      </c>
    </row>
    <row r="66" spans="4:9" x14ac:dyDescent="0.3">
      <c r="D66" t="str">
        <v>9</v>
      </c>
      <c r="E66" t="str">
        <v>America</v>
      </c>
      <c r="F66">
        <v>2016</v>
      </c>
      <c r="G66">
        <v>1</v>
      </c>
      <c r="H66">
        <v>230</v>
      </c>
      <c r="I66">
        <v>230</v>
      </c>
    </row>
    <row r="67" spans="4:9" x14ac:dyDescent="0.3">
      <c r="D67" t="str">
        <v>10</v>
      </c>
      <c r="E67" t="str">
        <v>China</v>
      </c>
      <c r="F67">
        <v>2016</v>
      </c>
      <c r="G67">
        <v>3</v>
      </c>
      <c r="H67">
        <v>440</v>
      </c>
      <c r="I67">
        <v>146.66999999999999</v>
      </c>
    </row>
    <row r="68" spans="4:9" x14ac:dyDescent="0.3">
      <c r="D68" t="str">
        <v>11</v>
      </c>
      <c r="E68" t="str">
        <v>England</v>
      </c>
      <c r="F68">
        <v>2017</v>
      </c>
      <c r="G68">
        <v>2</v>
      </c>
      <c r="H68">
        <v>320</v>
      </c>
      <c r="I68">
        <v>160</v>
      </c>
    </row>
    <row r="69" spans="4:9" x14ac:dyDescent="0.3">
      <c r="D69" t="str">
        <v>12</v>
      </c>
      <c r="E69" t="str">
        <v>America</v>
      </c>
      <c r="F69">
        <v>2017</v>
      </c>
      <c r="G69">
        <v>3</v>
      </c>
      <c r="H69">
        <v>430</v>
      </c>
      <c r="I69">
        <v>143.33000000000001</v>
      </c>
    </row>
    <row r="70" spans="4:9" x14ac:dyDescent="0.3">
      <c r="D70" t="str">
        <v>13</v>
      </c>
      <c r="E70" t="str">
        <v>South Korea</v>
      </c>
      <c r="F70">
        <v>2018</v>
      </c>
      <c r="G70">
        <v>3</v>
      </c>
      <c r="H70">
        <v>500</v>
      </c>
      <c r="I70">
        <v>166.67</v>
      </c>
    </row>
    <row r="71" spans="4:9" x14ac:dyDescent="0.3">
      <c r="D71" t="str">
        <v>14</v>
      </c>
      <c r="E71" t="str">
        <v>China</v>
      </c>
      <c r="F71">
        <v>2019</v>
      </c>
      <c r="G71">
        <v>1</v>
      </c>
      <c r="H71">
        <v>600</v>
      </c>
      <c r="I71">
        <v>600</v>
      </c>
    </row>
    <row r="72" spans="4:9" x14ac:dyDescent="0.3">
      <c r="D72" t="str">
        <v>15</v>
      </c>
      <c r="E72" t="str">
        <v>America</v>
      </c>
      <c r="F72">
        <v>2020</v>
      </c>
      <c r="G72">
        <v>4</v>
      </c>
      <c r="H72">
        <v>500</v>
      </c>
      <c r="I72">
        <v>125</v>
      </c>
    </row>
    <row r="73" spans="4:9" x14ac:dyDescent="0.3">
      <c r="D73" t="str">
        <v>16</v>
      </c>
      <c r="E73" t="str">
        <v>America</v>
      </c>
      <c r="F73">
        <v>2021</v>
      </c>
      <c r="G73">
        <v>3</v>
      </c>
      <c r="H73">
        <v>800</v>
      </c>
      <c r="I73">
        <v>266.67</v>
      </c>
    </row>
    <row r="74" spans="4:9" x14ac:dyDescent="0.3">
      <c r="D74" t="str">
        <v>17</v>
      </c>
      <c r="E74" t="str">
        <v>England</v>
      </c>
      <c r="F74">
        <v>2020</v>
      </c>
      <c r="G74">
        <v>5</v>
      </c>
      <c r="H74">
        <v>120</v>
      </c>
      <c r="I74">
        <v>24</v>
      </c>
    </row>
    <row r="75" spans="4:9" x14ac:dyDescent="0.3">
      <c r="D75" t="str">
        <v>18</v>
      </c>
      <c r="E75" t="str">
        <v>America</v>
      </c>
      <c r="F75">
        <v>2022</v>
      </c>
      <c r="G75">
        <v>2</v>
      </c>
      <c r="H75">
        <v>400</v>
      </c>
      <c r="I75">
        <v>200</v>
      </c>
    </row>
    <row r="76" spans="4:9" x14ac:dyDescent="0.3">
      <c r="D76" t="str">
        <v>19</v>
      </c>
      <c r="E76" t="str">
        <v>America</v>
      </c>
      <c r="F76">
        <v>2011</v>
      </c>
      <c r="G76">
        <v>3</v>
      </c>
      <c r="H76">
        <v>100</v>
      </c>
      <c r="I76">
        <v>33.33</v>
      </c>
    </row>
    <row r="77" spans="4:9" x14ac:dyDescent="0.3">
      <c r="D77" t="str">
        <v>20</v>
      </c>
      <c r="E77" t="str">
        <v>South Korea</v>
      </c>
      <c r="F77">
        <v>2012</v>
      </c>
      <c r="G77">
        <v>5</v>
      </c>
      <c r="H77">
        <v>11</v>
      </c>
      <c r="I77">
        <v>2.2000000000000002</v>
      </c>
    </row>
    <row r="78" spans="4:9" x14ac:dyDescent="0.3">
      <c r="D78" t="str">
        <v>21</v>
      </c>
      <c r="E78" t="str">
        <v>England</v>
      </c>
      <c r="F78">
        <v>2021</v>
      </c>
      <c r="G78">
        <v>1</v>
      </c>
      <c r="H78">
        <v>120</v>
      </c>
      <c r="I78">
        <v>120</v>
      </c>
    </row>
    <row r="79" spans="4:9" x14ac:dyDescent="0.3">
      <c r="D79" t="str">
        <v>22</v>
      </c>
      <c r="E79" t="str">
        <v>America</v>
      </c>
      <c r="F79">
        <v>2021</v>
      </c>
      <c r="G79">
        <v>3</v>
      </c>
      <c r="H79">
        <v>800</v>
      </c>
      <c r="I79">
        <v>266.67</v>
      </c>
    </row>
    <row r="80" spans="4:9" x14ac:dyDescent="0.3">
      <c r="D80" t="str">
        <v>23</v>
      </c>
      <c r="E80" t="str">
        <v>America</v>
      </c>
      <c r="F80">
        <v>2022</v>
      </c>
      <c r="G80">
        <v>2</v>
      </c>
      <c r="H80">
        <v>400</v>
      </c>
      <c r="I80">
        <v>200</v>
      </c>
    </row>
    <row r="81" spans="2:9" x14ac:dyDescent="0.3">
      <c r="D81" t="str">
        <v>24</v>
      </c>
      <c r="E81" t="str">
        <v>China</v>
      </c>
      <c r="F81">
        <v>2021</v>
      </c>
      <c r="G81">
        <v>2</v>
      </c>
      <c r="H81">
        <v>230</v>
      </c>
      <c r="I81">
        <v>115</v>
      </c>
    </row>
    <row r="82" spans="2:9" x14ac:dyDescent="0.3">
      <c r="D82" t="str">
        <v>25</v>
      </c>
      <c r="E82" t="str">
        <v>South Korea</v>
      </c>
      <c r="F82">
        <v>2022</v>
      </c>
      <c r="G82">
        <v>1</v>
      </c>
      <c r="H82">
        <v>320</v>
      </c>
      <c r="I82">
        <v>320</v>
      </c>
    </row>
    <row r="83" spans="2:9" x14ac:dyDescent="0.3">
      <c r="D83" t="str">
        <v>26</v>
      </c>
      <c r="E83" t="str">
        <v>England</v>
      </c>
      <c r="F83">
        <v>2022</v>
      </c>
      <c r="G83">
        <v>2</v>
      </c>
      <c r="H83">
        <v>221</v>
      </c>
      <c r="I83">
        <v>110.5</v>
      </c>
    </row>
    <row r="85" spans="2:9" x14ac:dyDescent="0.3">
      <c r="B85" t="s">
        <v>15</v>
      </c>
      <c r="D85" t="str" cm="1">
        <f t="array" ref="D85:I89">_xll.RScript.Evaluate(B85)</f>
        <v>Index</v>
      </c>
      <c r="E85" t="str">
        <v>country</v>
      </c>
      <c r="F85" t="str">
        <v>year</v>
      </c>
      <c r="G85" t="str">
        <v>highest_profit</v>
      </c>
      <c r="H85" t="str">
        <v>number_movies</v>
      </c>
      <c r="I85" t="str">
        <v>no_employees</v>
      </c>
    </row>
    <row r="86" spans="2:9" x14ac:dyDescent="0.3">
      <c r="D86" t="str">
        <v>1</v>
      </c>
      <c r="E86" t="str">
        <v>America</v>
      </c>
      <c r="F86">
        <v>2021</v>
      </c>
      <c r="G86">
        <v>800</v>
      </c>
      <c r="H86">
        <v>3</v>
      </c>
      <c r="I86">
        <v>6800</v>
      </c>
    </row>
    <row r="87" spans="2:9" x14ac:dyDescent="0.3">
      <c r="D87" t="str">
        <v>2</v>
      </c>
      <c r="E87" t="str">
        <v>England</v>
      </c>
      <c r="F87">
        <v>2021</v>
      </c>
      <c r="G87">
        <v>120</v>
      </c>
      <c r="H87">
        <v>1</v>
      </c>
      <c r="I87">
        <v>1325</v>
      </c>
    </row>
    <row r="88" spans="2:9" x14ac:dyDescent="0.3">
      <c r="D88" t="str">
        <v>3</v>
      </c>
      <c r="E88" t="str">
        <v>America</v>
      </c>
      <c r="F88">
        <v>2021</v>
      </c>
      <c r="G88">
        <v>800</v>
      </c>
      <c r="H88">
        <v>3</v>
      </c>
      <c r="I88">
        <v>6800</v>
      </c>
    </row>
    <row r="89" spans="2:9" x14ac:dyDescent="0.3">
      <c r="D89" t="str">
        <v>4</v>
      </c>
      <c r="E89" t="str">
        <v>China</v>
      </c>
      <c r="F89">
        <v>2021</v>
      </c>
      <c r="G89">
        <v>230</v>
      </c>
      <c r="H89">
        <v>2</v>
      </c>
      <c r="I89">
        <v>3101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922D-D44D-4339-80A0-C0EF114F9177}">
  <dimension ref="B2:C53"/>
  <sheetViews>
    <sheetView topLeftCell="A14" workbookViewId="0">
      <selection activeCell="C3" sqref="C3"/>
    </sheetView>
  </sheetViews>
  <sheetFormatPr defaultRowHeight="14.4" x14ac:dyDescent="0.3"/>
  <cols>
    <col min="2" max="2" width="63" customWidth="1"/>
  </cols>
  <sheetData>
    <row r="2" spans="2:3" ht="86.4" x14ac:dyDescent="0.3">
      <c r="B2" s="2" t="s">
        <v>37</v>
      </c>
      <c r="C2" t="str" cm="1">
        <f t="array" ref="C2">_xll.RScript.Evaluate(B2, TRUE)</f>
        <v>OK</v>
      </c>
    </row>
    <row r="27" spans="2:3" ht="100.8" x14ac:dyDescent="0.3">
      <c r="B27" s="2" t="s">
        <v>16</v>
      </c>
      <c r="C27" t="str" cm="1">
        <f t="array" ref="C27:C35">_xll.RScript.Evaluate(B27)</f>
        <v>data</v>
      </c>
    </row>
    <row r="28" spans="2:3" x14ac:dyDescent="0.3">
      <c r="C28" t="str">
        <v>layers</v>
      </c>
    </row>
    <row r="29" spans="2:3" x14ac:dyDescent="0.3">
      <c r="C29" t="str">
        <v>scales</v>
      </c>
    </row>
    <row r="30" spans="2:3" x14ac:dyDescent="0.3">
      <c r="C30" t="str">
        <v>mapping</v>
      </c>
    </row>
    <row r="31" spans="2:3" x14ac:dyDescent="0.3">
      <c r="C31" t="str">
        <v>theme</v>
      </c>
    </row>
    <row r="32" spans="2:3" x14ac:dyDescent="0.3">
      <c r="C32" t="str">
        <v>coordinates</v>
      </c>
    </row>
    <row r="33" spans="2:3" x14ac:dyDescent="0.3">
      <c r="C33" t="str">
        <v>facet</v>
      </c>
    </row>
    <row r="34" spans="2:3" x14ac:dyDescent="0.3">
      <c r="C34" t="str">
        <v>plot_env</v>
      </c>
    </row>
    <row r="35" spans="2:3" x14ac:dyDescent="0.3">
      <c r="C35" t="str">
        <v>labels</v>
      </c>
    </row>
    <row r="45" spans="2:3" ht="129.6" x14ac:dyDescent="0.3">
      <c r="B45" s="2" t="s">
        <v>17</v>
      </c>
      <c r="C45" t="str" cm="1">
        <f t="array" ref="C45:C53">_xll.RScript.Evaluate(B45)</f>
        <v>data</v>
      </c>
    </row>
    <row r="46" spans="2:3" x14ac:dyDescent="0.3">
      <c r="C46" t="str">
        <v>layers</v>
      </c>
    </row>
    <row r="47" spans="2:3" x14ac:dyDescent="0.3">
      <c r="C47" t="str">
        <v>scales</v>
      </c>
    </row>
    <row r="48" spans="2:3" x14ac:dyDescent="0.3">
      <c r="C48" t="str">
        <v>mapping</v>
      </c>
    </row>
    <row r="49" spans="3:3" x14ac:dyDescent="0.3">
      <c r="C49" t="str">
        <v>theme</v>
      </c>
    </row>
    <row r="50" spans="3:3" x14ac:dyDescent="0.3">
      <c r="C50" t="str">
        <v>coordinates</v>
      </c>
    </row>
    <row r="51" spans="3:3" x14ac:dyDescent="0.3">
      <c r="C51" t="str">
        <v>facet</v>
      </c>
    </row>
    <row r="52" spans="3:3" x14ac:dyDescent="0.3">
      <c r="C52" t="str">
        <v>plot_env</v>
      </c>
    </row>
    <row r="53" spans="3:3" x14ac:dyDescent="0.3">
      <c r="C53" t="str">
        <v>labels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A170-C388-4B0E-9466-93DA47D04701}">
  <dimension ref="B2:E31"/>
  <sheetViews>
    <sheetView tabSelected="1" workbookViewId="0"/>
  </sheetViews>
  <sheetFormatPr defaultRowHeight="14.4" x14ac:dyDescent="0.3"/>
  <cols>
    <col min="2" max="2" width="38.21875" bestFit="1" customWidth="1"/>
    <col min="3" max="4" width="10.5546875" bestFit="1" customWidth="1"/>
  </cols>
  <sheetData>
    <row r="2" spans="2:5" x14ac:dyDescent="0.3">
      <c r="C2" t="s">
        <v>19</v>
      </c>
      <c r="D2" t="s">
        <v>20</v>
      </c>
      <c r="E2" t="s">
        <v>21</v>
      </c>
    </row>
    <row r="3" spans="2:5" x14ac:dyDescent="0.3">
      <c r="C3" s="3">
        <v>44944</v>
      </c>
      <c r="D3" s="3">
        <v>45062</v>
      </c>
      <c r="E3">
        <f>D3-C3</f>
        <v>118</v>
      </c>
    </row>
    <row r="6" spans="2:5" x14ac:dyDescent="0.3">
      <c r="B6" t="s">
        <v>22</v>
      </c>
      <c r="C6" t="str" cm="1">
        <f t="array" ref="C6">_xll.RScript.Evaluate(B6)</f>
        <v>start_date</v>
      </c>
    </row>
    <row r="7" spans="2:5" x14ac:dyDescent="0.3">
      <c r="B7" t="s">
        <v>23</v>
      </c>
      <c r="C7" t="str" cm="1">
        <f t="array" ref="C7">_xll.RScript.Evaluate(B7)</f>
        <v>end_date</v>
      </c>
    </row>
    <row r="9" spans="2:5" ht="57.6" x14ac:dyDescent="0.3">
      <c r="B9" s="2" t="s">
        <v>24</v>
      </c>
      <c r="C9" t="str" cm="1">
        <f t="array" ref="C9">_xll.RScript.Evaluate(B9)</f>
        <v>diff_date</v>
      </c>
    </row>
    <row r="11" spans="2:5" x14ac:dyDescent="0.3">
      <c r="B11" t="s">
        <v>25</v>
      </c>
      <c r="C11" cm="1">
        <f t="array" ref="C11">_xll.RScript.Evaluate(B11)</f>
        <v>118</v>
      </c>
    </row>
    <row r="13" spans="2:5" x14ac:dyDescent="0.3">
      <c r="B13" t="s">
        <v>26</v>
      </c>
      <c r="C13" t="str" cm="1">
        <f t="array" ref="C13">_xll.RScript.Evaluate(B13)</f>
        <v>date</v>
      </c>
    </row>
    <row r="14" spans="2:5" x14ac:dyDescent="0.3">
      <c r="B14" t="s">
        <v>27</v>
      </c>
      <c r="C14" t="str" cm="1">
        <f t="array" ref="C14">_xll.RScript.Evaluate(B14)</f>
        <v>date_formatted</v>
      </c>
    </row>
    <row r="15" spans="2:5" x14ac:dyDescent="0.3">
      <c r="B15" t="s">
        <v>28</v>
      </c>
      <c r="C15" t="str" cm="1">
        <f t="array" ref="C15">_xll.RScript.Evaluate(B15)</f>
        <v>16-May-2023</v>
      </c>
    </row>
    <row r="17" spans="2:3" x14ac:dyDescent="0.3">
      <c r="B17" t="s">
        <v>29</v>
      </c>
      <c r="C17" t="str" cm="1">
        <f t="array" ref="C17">_xll.RScript.Evaluate(B17)</f>
        <v>my_date</v>
      </c>
    </row>
    <row r="18" spans="2:3" x14ac:dyDescent="0.3">
      <c r="B18" t="s">
        <v>30</v>
      </c>
      <c r="C18" cm="1">
        <f t="array" ref="C18">_xll.RScript.Evaluate(B18)</f>
        <v>2023</v>
      </c>
    </row>
    <row r="19" spans="2:3" x14ac:dyDescent="0.3">
      <c r="B19" t="s">
        <v>31</v>
      </c>
      <c r="C19" cm="1">
        <f t="array" ref="C19">_xll.RScript.Evaluate(B19)</f>
        <v>5</v>
      </c>
    </row>
    <row r="20" spans="2:3" x14ac:dyDescent="0.3">
      <c r="B20" t="s">
        <v>32</v>
      </c>
      <c r="C20" cm="1">
        <f t="array" ref="C20">_xll.RScript.Evaluate(B20)</f>
        <v>16</v>
      </c>
    </row>
    <row r="23" spans="2:3" x14ac:dyDescent="0.3">
      <c r="B23" t="s">
        <v>36</v>
      </c>
      <c r="C23" t="str" cm="1">
        <f t="array" ref="C23">_xll.RScript.Evaluate(B23)</f>
        <v xml:space="preserve">Exception: Error in open.connection(7L, "rb") : HTTP error 404.
</v>
      </c>
    </row>
    <row r="26" spans="2:3" ht="72" x14ac:dyDescent="0.3">
      <c r="B26" s="2" t="s">
        <v>33</v>
      </c>
      <c r="C26" t="str" cm="1">
        <f t="array" ref="C26">_xll.RScript.Evaluate(B26)</f>
        <v xml:space="preserve">Exception: Error: object 'movie_data' not found
</v>
      </c>
    </row>
    <row r="28" spans="2:3" ht="57.6" x14ac:dyDescent="0.3">
      <c r="B28" s="2" t="s">
        <v>34</v>
      </c>
      <c r="C28" t="str" cm="1">
        <f t="array" ref="C28">_xll.RScript.Evaluate(B28)</f>
        <v xml:space="preserve">Exception: Error: object 'movie_data' not found
</v>
      </c>
    </row>
    <row r="31" spans="2:3" x14ac:dyDescent="0.3">
      <c r="B31" t="s">
        <v>35</v>
      </c>
      <c r="C31" t="str" cm="1">
        <f t="array" ref="C31">_xll.RScript.Evaluate(B31)</f>
        <v xml:space="preserve">Exception: Error: object 'movie_data' not found
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References</vt:lpstr>
      <vt:lpstr>Libraries</vt:lpstr>
      <vt:lpstr>Movie Data</vt:lpstr>
      <vt:lpstr>Summary Statistics</vt:lpstr>
      <vt:lpstr>Plots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2023-09-19T13:23:56Z</dcterms:created>
  <dcterms:modified xsi:type="dcterms:W3CDTF">2026-09-25T11:40:36Z</dcterms:modified>
</cp:coreProperties>
</file>