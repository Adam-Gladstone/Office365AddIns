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Projects\C#\Office\Office365 AddIns\ExcelRAddIn\Tests\"/>
    </mc:Choice>
  </mc:AlternateContent>
  <xr:revisionPtr revIDLastSave="0" documentId="13_ncr:1_{DCA1F500-A4D2-4BCB-BE9F-AE16BBABC231}" xr6:coauthVersionLast="47" xr6:coauthVersionMax="47" xr10:uidLastSave="{00000000-0000-0000-0000-000000000000}"/>
  <bookViews>
    <workbookView xWindow="-108" yWindow="-108" windowWidth="23256" windowHeight="12456" activeTab="3" xr2:uid="{6DE01E39-80F5-4793-B19A-E999CA1A29DE}"/>
  </bookViews>
  <sheets>
    <sheet name="References" sheetId="1" r:id="rId1"/>
    <sheet name="Libraries" sheetId="2" r:id="rId2"/>
    <sheet name="Session Info" sheetId="4" r:id="rId3"/>
    <sheet name="Analysi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3" l="1" a="1"/>
  <c r="G10" i="3" a="1"/>
  <c r="F11" i="3" a="1"/>
  <c r="F10" i="3" a="1"/>
  <c r="F8" i="3" a="1"/>
  <c r="F6" i="3" a="1"/>
  <c r="F5" i="3" a="1"/>
  <c r="F3" i="3" a="1"/>
  <c r="F2" i="3" a="1"/>
  <c r="D3" i="3"/>
  <c r="D2" i="3"/>
  <c r="G2" i="4" a="1"/>
  <c r="E2" i="4"/>
  <c r="D2" i="4" a="1"/>
  <c r="D3" i="2" a="1"/>
  <c r="D2" i="2" a="1"/>
  <c r="G204" i="3" a="1"/>
  <c r="G203" i="3" a="1"/>
  <c r="G201" i="3" a="1"/>
  <c r="G200" i="3" a="1"/>
  <c r="D5" i="3"/>
  <c r="G5" i="3" l="1"/>
  <c r="F2" i="4" a="1"/>
  <c r="G15" i="4" l="1" a="1"/>
  <c r="G14" i="4" a="1"/>
  <c r="G13" i="4" a="1"/>
  <c r="G11" i="4" a="1"/>
  <c r="G10" i="4" a="1"/>
  <c r="G9" i="4" a="1"/>
  <c r="G8" i="4" a="1"/>
  <c r="G7" i="4" a="1"/>
  <c r="G6" i="4" a="1"/>
  <c r="G5" i="4" a="1"/>
  <c r="G4" i="4" a="1"/>
  <c r="G3" i="4" a="1"/>
  <c r="G17" i="4" a="1"/>
  <c r="G16" i="4" a="1"/>
  <c r="G12" i="4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<sst xmlns="http://schemas.openxmlformats.org/spreadsheetml/2006/main" count="27" uniqueCount="25">
  <si>
    <t>################################################################################</t>
  </si>
  <si>
    <t xml:space="preserve"># An Introduction to Stock Market Data Analysis with R (Part 1) </t>
  </si>
  <si>
    <t>#</t>
  </si>
  <si>
    <t># https://ntguardian.wordpress.com/2017/03/27/introduction-stock-market-data-r-1/</t>
  </si>
  <si>
    <t># https://ntguardian.wordpress.com/2017/04/03/introduction-stock-market-data-r-2/</t>
  </si>
  <si>
    <t># https://ntguardian.wordpress.com/2016/09/26/introduction-stock-market-data-python-2/</t>
  </si>
  <si>
    <t xml:space="preserve">#  </t>
  </si>
  <si>
    <t>library(quantmod)</t>
  </si>
  <si>
    <t>2016-01-01</t>
  </si>
  <si>
    <t>2016-10-01</t>
  </si>
  <si>
    <t>AAPL</t>
  </si>
  <si>
    <t>=RScript.Evaluate(F5)</t>
  </si>
  <si>
    <t>getSymbols(c("MSFT", "GOOG"), src = "yahoo", from = start, to = end)</t>
  </si>
  <si>
    <t>stocks &lt;- as.xts(data.frame(AAPL = AAPL[, "AAPL.Close"], MSFT = MSFT[, "MSFT.Close"], 
                            GOOG = GOOG[, "GOOG.Close"]))</t>
  </si>
  <si>
    <t>library(magrittr)</t>
  </si>
  <si>
    <t>stock_return = apply(stocks, 1, function(x) {x / stocks[1,]}) %&gt;% t %&gt;% as.xts</t>
  </si>
  <si>
    <t>session = sessionInfo()</t>
  </si>
  <si>
    <t>AAPL.Close</t>
  </si>
  <si>
    <t>MSFT.Close</t>
  </si>
  <si>
    <t>GOOG.Close</t>
  </si>
  <si>
    <t>stock_change = stocks %&gt;% log %&gt;% diff</t>
  </si>
  <si>
    <t>plot(as.zoo(stock_change), screens = 1, lty = 1:3, xlab = "Date", ylab = "Log Difference")</t>
  </si>
  <si>
    <t>legend("topleft", c("AAPL", "MSFT", "GOOG"), lty = 1:3, cex = 0.5)</t>
  </si>
  <si>
    <t>candleChart(AAPL, up.col = "black", dn.col = "red", theme = "white")</t>
  </si>
  <si>
    <t>addSMA(n = 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</si>
</sst>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quotePrefix="1" applyNumberFormat="1"/>
    <xf numFmtId="0" fontId="0" fillId="0" borderId="0" xfId="0" quotePrefix="1"/>
    <xf numFmtId="0" fontId="0" fillId="0" borderId="0" xfId="0" applyAlignment="1">
      <alignment wrapText="1"/>
    </xf>
    <xf numFmtId="164" fontId="0" fillId="0" borderId="0" xfId="0" applyNumberFormat="1"/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403860</xdr:colOff>
      <xdr:row>207</xdr:row>
      <xdr:rowOff>83820</xdr:rowOff>
    </xdr:from>
    <xdr:to>
      <xdr:col>10</xdr:col>
      <xdr:colOff>502920</xdr:colOff>
      <xdr:row>223</xdr:row>
      <xdr:rowOff>106680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473466-A07A-BCE6-C700-29691FECE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38305740"/>
          <a:ext cx="2948940" cy="2948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9FF98-E834-43BF-8C30-ABE2DC4F5B94}">
  <dimension ref="B2:B10"/>
  <sheetViews>
    <sheetView workbookViewId="0">
      <selection activeCell="B11" sqref="B11"/>
    </sheetView>
  </sheetViews>
  <sheetFormatPr defaultRowHeight="14.4" x14ac:dyDescent="0.3"/>
  <sheetData>
    <row r="2" spans="2:2" x14ac:dyDescent="0.3">
      <c r="B2" t="s">
        <v>0</v>
      </c>
    </row>
    <row r="3" spans="2:2" x14ac:dyDescent="0.3">
      <c r="B3" t="s">
        <v>1</v>
      </c>
    </row>
    <row r="4" spans="2:2" x14ac:dyDescent="0.3">
      <c r="B4" t="s">
        <v>2</v>
      </c>
    </row>
    <row r="5" spans="2:2" x14ac:dyDescent="0.3">
      <c r="B5" t="s">
        <v>3</v>
      </c>
    </row>
    <row r="6" spans="2:2" x14ac:dyDescent="0.3">
      <c r="B6" t="s">
        <v>4</v>
      </c>
    </row>
    <row r="7" spans="2:2" x14ac:dyDescent="0.3">
      <c r="B7" t="s">
        <v>5</v>
      </c>
    </row>
    <row r="8" spans="2:2" x14ac:dyDescent="0.3">
      <c r="B8" t="s">
        <v>6</v>
      </c>
    </row>
    <row r="9" spans="2:2" x14ac:dyDescent="0.3">
      <c r="B9" t="s">
        <v>6</v>
      </c>
    </row>
    <row r="10" spans="2:2" x14ac:dyDescent="0.3">
      <c r="B10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AF659-3AA9-4245-9BF7-1FBDED3808DC}">
  <dimension ref="B2:D3"/>
  <sheetViews>
    <sheetView workbookViewId="0">
      <selection activeCell="D3" sqref="D3"/>
    </sheetView>
  </sheetViews>
  <sheetFormatPr defaultRowHeight="14.4" x14ac:dyDescent="0.3"/>
  <cols>
    <col min="2" max="2" width="23.77734375" customWidth="1"/>
  </cols>
  <sheetData>
    <row r="2" spans="2:4" x14ac:dyDescent="0.3">
      <c r="B2" t="s">
        <v>7</v>
      </c>
      <c r="D2" t="str" cm="1">
        <f t="array" ref="D2">_xll.RScript.Evaluate(B2, TRUE)</f>
        <v>OK</v>
      </c>
    </row>
    <row r="3" spans="2:4" x14ac:dyDescent="0.3">
      <c r="B3" t="s">
        <v>14</v>
      </c>
      <c r="D3" t="str" cm="1">
        <f t="array" ref="D3">_xll.RScript.Evaluate(B3, TRUE)</f>
        <v>OK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1B5B-F730-4FDC-989B-9FE7E06D0672}">
  <dimension ref="B2:AS17"/>
  <sheetViews>
    <sheetView workbookViewId="0">
      <selection activeCell="G18" sqref="G18"/>
    </sheetView>
  </sheetViews>
  <sheetFormatPr defaultRowHeight="14.4" x14ac:dyDescent="0.3"/>
  <cols>
    <col min="2" max="2" width="19.33203125" bestFit="1" customWidth="1"/>
    <col min="5" max="5" width="13.44140625" bestFit="1" customWidth="1"/>
    <col min="6" max="6" width="15.21875" bestFit="1" customWidth="1"/>
    <col min="7" max="7" width="19.109375" customWidth="1"/>
  </cols>
  <sheetData>
    <row r="2" spans="2:45" x14ac:dyDescent="0.3">
      <c r="B2" t="s">
        <v>16</v>
      </c>
      <c r="D2" t="str" cm="1">
        <f t="array" ref="D2">_xll.RScript.Evaluate(B2)</f>
        <v>session</v>
      </c>
      <c r="E2" t="str">
        <f>"names("&amp;D2&amp;")"</f>
        <v>names(session)</v>
      </c>
      <c r="F2" s="2" t="str" cm="1">
        <f t="array" ref="F2:F17">_xll.RScript.Evaluate(E2)</f>
        <v>R.version</v>
      </c>
      <c r="G2" t="str" cm="1">
        <f t="array" ref="G2:U2">TRANSPOSE(_xll.RScript.Evaluate($D$2&amp;"$"&amp;F2&amp;""))</f>
        <v>platform</v>
      </c>
      <c r="H2" t="str">
        <v>arch</v>
      </c>
      <c r="I2" t="str">
        <v>os</v>
      </c>
      <c r="J2" t="str">
        <v>crt</v>
      </c>
      <c r="K2" t="str">
        <v>system</v>
      </c>
      <c r="L2" t="str">
        <v>status</v>
      </c>
      <c r="M2" t="str">
        <v>major</v>
      </c>
      <c r="N2" t="str">
        <v>minor</v>
      </c>
      <c r="O2" t="str">
        <v>year</v>
      </c>
      <c r="P2" t="str">
        <v>month</v>
      </c>
      <c r="Q2" t="str">
        <v>day</v>
      </c>
      <c r="R2" t="str">
        <v>svn rev</v>
      </c>
      <c r="S2" t="str">
        <v>language</v>
      </c>
      <c r="T2" t="str">
        <v>version.string</v>
      </c>
      <c r="U2" t="str">
        <v>nickname</v>
      </c>
    </row>
    <row r="3" spans="2:45" x14ac:dyDescent="0.3">
      <c r="F3" t="str">
        <v>platform</v>
      </c>
      <c r="G3" t="str" cm="1">
        <f t="array" ref="G3">_xll.RScript.Evaluate($D$2&amp;"$"&amp;F3&amp;"")</f>
        <v>x86_64-w64-mingw32/x64</v>
      </c>
    </row>
    <row r="4" spans="2:45" x14ac:dyDescent="0.3">
      <c r="F4" t="str">
        <v>locale</v>
      </c>
      <c r="G4" t="str" cm="1">
        <f t="array" ref="G4">_xll.RScript.Evaluate($D$2&amp;"$"&amp;F4&amp;"")</f>
        <v>LC_COLLATE=English_United Kingdom.1252;LC_CTYPE=English_United Kingdom.1252;LC_MONETARY=English_United Kingdom.1252;LC_NUMERIC=C;LC_TIME=English_United Kingdom.1252</v>
      </c>
    </row>
    <row r="5" spans="2:45" x14ac:dyDescent="0.3">
      <c r="F5" t="str">
        <v>tzone</v>
      </c>
      <c r="G5" t="str" cm="1">
        <f t="array" ref="G5">_xll.RScript.Evaluate($D$2&amp;"$"&amp;F5&amp;"")</f>
        <v>Europe/Madrid</v>
      </c>
    </row>
    <row r="6" spans="2:45" x14ac:dyDescent="0.3">
      <c r="F6" t="str">
        <v>tzcode_type</v>
      </c>
      <c r="G6" t="str" cm="1">
        <f t="array" ref="G6">_xll.RScript.Evaluate($D$2&amp;"$"&amp;F6&amp;"")</f>
        <v>internal</v>
      </c>
    </row>
    <row r="7" spans="2:45" x14ac:dyDescent="0.3">
      <c r="F7" t="str">
        <v>running</v>
      </c>
      <c r="G7" t="str" cm="1">
        <f t="array" ref="G7">_xll.RScript.Evaluate($D$2&amp;"$"&amp;F7&amp;"")</f>
        <v>Windows 11 x64 (build 26200)</v>
      </c>
    </row>
    <row r="8" spans="2:45" x14ac:dyDescent="0.3">
      <c r="F8" t="str">
        <v>RNGkind</v>
      </c>
      <c r="G8" t="str" cm="1">
        <f t="array" ref="G8:I8">TRANSPOSE(_xll.RScript.Evaluate($D$2&amp;"$"&amp;F8&amp;""))</f>
        <v>Mersenne-Twister</v>
      </c>
      <c r="H8" t="str">
        <v>Inversion</v>
      </c>
      <c r="I8" t="str">
        <v>Rejection</v>
      </c>
    </row>
    <row r="9" spans="2:45" x14ac:dyDescent="0.3">
      <c r="F9" t="str">
        <v>basePkgs</v>
      </c>
      <c r="G9" t="str" cm="1">
        <f t="array" ref="G9:M9">TRANSPOSE(_xll.RScript.Evaluate($D$2&amp;"$"&amp;F9&amp;""))</f>
        <v>stats</v>
      </c>
      <c r="H9" t="str">
        <v>graphics</v>
      </c>
      <c r="I9" t="str">
        <v>grDevices</v>
      </c>
      <c r="J9" t="str">
        <v>utils</v>
      </c>
      <c r="K9" t="str">
        <v>datasets</v>
      </c>
      <c r="L9" t="str">
        <v>methods</v>
      </c>
      <c r="M9" t="str">
        <v>base</v>
      </c>
    </row>
    <row r="10" spans="2:45" x14ac:dyDescent="0.3">
      <c r="F10" t="str">
        <v>otherPkgs</v>
      </c>
      <c r="G10" t="str" cm="1">
        <f t="array" ref="G10:X10">TRANSPOSE(_xll.RScript.Evaluate($D$2&amp;"$"&amp;F10&amp;""))</f>
        <v>magrittr</v>
      </c>
      <c r="H10" t="str">
        <v>quantmod</v>
      </c>
      <c r="I10" t="str">
        <v>TTR</v>
      </c>
      <c r="J10" t="str">
        <v>xts</v>
      </c>
      <c r="K10" t="str">
        <v>zoo</v>
      </c>
      <c r="L10" t="str">
        <v>reticulate</v>
      </c>
      <c r="M10" t="str">
        <v>ggthemes</v>
      </c>
      <c r="N10" t="str">
        <v>forecast</v>
      </c>
      <c r="O10" t="str">
        <v>lubridate</v>
      </c>
      <c r="P10" t="str">
        <v>forcats</v>
      </c>
      <c r="Q10" t="str">
        <v>stringr</v>
      </c>
      <c r="R10" t="str">
        <v>dplyr</v>
      </c>
      <c r="S10" t="str">
        <v>purrr</v>
      </c>
      <c r="T10" t="str">
        <v>readr</v>
      </c>
      <c r="U10" t="str">
        <v>tidyr</v>
      </c>
      <c r="V10" t="str">
        <v>tibble</v>
      </c>
      <c r="W10" t="str">
        <v>ggplot2</v>
      </c>
      <c r="X10" t="str">
        <v>tidyverse</v>
      </c>
    </row>
    <row r="11" spans="2:45" x14ac:dyDescent="0.3">
      <c r="F11" t="str">
        <v>loadedOnly</v>
      </c>
      <c r="G11" t="str" cm="1">
        <f t="array" ref="G11:AS11">TRANSPOSE(_xll.RScript.Evaluate($D$2&amp;"$"&amp;F11&amp;""))</f>
        <v>generics</v>
      </c>
      <c r="H11" t="str">
        <v>stringi</v>
      </c>
      <c r="I11" t="str">
        <v>lattice</v>
      </c>
      <c r="J11" t="str">
        <v>hms</v>
      </c>
      <c r="K11" t="str">
        <v>grid</v>
      </c>
      <c r="L11" t="str">
        <v>timechange</v>
      </c>
      <c r="M11" t="str">
        <v>RColorBrewer</v>
      </c>
      <c r="N11" t="str">
        <v>jsonlite</v>
      </c>
      <c r="O11" t="str">
        <v>Matrix</v>
      </c>
      <c r="P11" t="str">
        <v>nnet</v>
      </c>
      <c r="Q11" t="str">
        <v>scales</v>
      </c>
      <c r="R11" t="str">
        <v>cli</v>
      </c>
      <c r="S11" t="str">
        <v>rlang</v>
      </c>
      <c r="T11" t="str">
        <v>withr</v>
      </c>
      <c r="U11" t="str">
        <v>tools</v>
      </c>
      <c r="V11" t="str">
        <v>parallel</v>
      </c>
      <c r="W11" t="str">
        <v>tzdb</v>
      </c>
      <c r="X11" t="str">
        <v>colorspace</v>
      </c>
      <c r="Y11" t="str">
        <v>curl</v>
      </c>
      <c r="Z11" t="str">
        <v>png</v>
      </c>
      <c r="AA11" t="str">
        <v>vctrs</v>
      </c>
      <c r="AB11" t="str">
        <v>R6</v>
      </c>
      <c r="AC11" t="str">
        <v>lifecycle</v>
      </c>
      <c r="AD11" t="str">
        <v>tseries</v>
      </c>
      <c r="AE11" t="str">
        <v>pkgconfig</v>
      </c>
      <c r="AF11" t="str">
        <v>urca</v>
      </c>
      <c r="AG11" t="str">
        <v>pillar</v>
      </c>
      <c r="AH11" t="str">
        <v>gtable</v>
      </c>
      <c r="AI11" t="str">
        <v>glue</v>
      </c>
      <c r="AJ11" t="str">
        <v>Rcpp</v>
      </c>
      <c r="AK11" t="str">
        <v>lmtest</v>
      </c>
      <c r="AL11" t="str">
        <v>tidyselect</v>
      </c>
      <c r="AM11" t="str">
        <v>farver</v>
      </c>
      <c r="AN11" t="str">
        <v>nlme</v>
      </c>
      <c r="AO11" t="str">
        <v>timeDate</v>
      </c>
      <c r="AP11" t="str">
        <v>fracdiff</v>
      </c>
      <c r="AQ11" t="str">
        <v>compiler</v>
      </c>
      <c r="AR11" t="str">
        <v>S7</v>
      </c>
      <c r="AS11" t="str">
        <v>quadprog</v>
      </c>
    </row>
    <row r="12" spans="2:45" x14ac:dyDescent="0.3">
      <c r="F12" t="str">
        <v>matprod</v>
      </c>
      <c r="G12" t="str" cm="1">
        <f t="array" ref="G12">TRANSPOSE(_xll.RScript.Evaluate($D$2&amp;"$"&amp;F12&amp;""))</f>
        <v>default</v>
      </c>
    </row>
    <row r="13" spans="2:45" x14ac:dyDescent="0.3">
      <c r="F13" t="str">
        <v>BLAS</v>
      </c>
      <c r="G13" t="str" cm="1">
        <f t="array" ref="G13">TRANSPOSE(_xll.RScript.Evaluate($D$2&amp;"$"&amp;F13&amp;""))</f>
        <v/>
      </c>
    </row>
    <row r="14" spans="2:45" x14ac:dyDescent="0.3">
      <c r="F14" t="str">
        <v>LAPACK</v>
      </c>
      <c r="G14" t="str" cm="1">
        <f t="array" ref="G14">TRANSPOSE(_xll.RScript.Evaluate($D$2&amp;"$"&amp;F14&amp;""))</f>
        <v/>
      </c>
    </row>
    <row r="15" spans="2:45" x14ac:dyDescent="0.3">
      <c r="F15" t="str">
        <v>LA_version</v>
      </c>
      <c r="G15" t="str" cm="1">
        <f t="array" ref="G15">TRANSPOSE(_xll.RScript.Evaluate($D$2&amp;"$"&amp;F15&amp;""))</f>
        <v>3.12.1</v>
      </c>
    </row>
    <row r="16" spans="2:45" x14ac:dyDescent="0.3">
      <c r="F16" t="str">
        <v>system.codepage</v>
      </c>
      <c r="G16" cm="1">
        <f t="array" ref="G16">TRANSPOSE(_xll.RScript.Evaluate($D$2&amp;"$"&amp;F16&amp;""))</f>
        <v>1252</v>
      </c>
    </row>
    <row r="17" spans="6:7" x14ac:dyDescent="0.3">
      <c r="F17" t="str">
        <v>codepage</v>
      </c>
      <c r="G17" cm="1">
        <f t="array" ref="G17">TRANSPOSE(_xll.RScript.Evaluate($D$2&amp;"$"&amp;F17&amp;""))</f>
        <v>1252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10761-71B1-4A21-8E9E-99E9143EE67C}">
  <dimension ref="B2:M204"/>
  <sheetViews>
    <sheetView tabSelected="1" workbookViewId="0"/>
  </sheetViews>
  <sheetFormatPr defaultRowHeight="14.4" x14ac:dyDescent="0.3"/>
  <cols>
    <col min="2" max="2" width="10.5546875" bestFit="1" customWidth="1"/>
    <col min="4" max="4" width="47.6640625" customWidth="1"/>
    <col min="5" max="5" width="6.44140625" customWidth="1"/>
    <col min="6" max="6" width="13.88671875" customWidth="1"/>
    <col min="7" max="7" width="16.109375" customWidth="1"/>
    <col min="8" max="8" width="20.109375" customWidth="1"/>
    <col min="9" max="9" width="12.5546875" bestFit="1" customWidth="1"/>
  </cols>
  <sheetData>
    <row r="2" spans="2:13" x14ac:dyDescent="0.3">
      <c r="B2" s="1" t="s">
        <v>8</v>
      </c>
      <c r="D2" t="str">
        <f>"start &lt;- as.Date('"&amp;B2&amp;"')"</f>
        <v>start &lt;- as.Date('2016-01-01')</v>
      </c>
      <c r="F2" t="str" cm="1">
        <f t="array" ref="F2">_xll.RScript.Evaluate(D2)</f>
        <v>start</v>
      </c>
    </row>
    <row r="3" spans="2:13" x14ac:dyDescent="0.3">
      <c r="B3" s="1" t="s">
        <v>9</v>
      </c>
      <c r="D3" t="str">
        <f>"end &lt;- as.Date('"&amp;B3&amp;"')"</f>
        <v>end &lt;- as.Date('2016-10-01')</v>
      </c>
      <c r="F3" t="str" cm="1">
        <f t="array" ref="F3">_xll.RScript.Evaluate(D3)</f>
        <v>end</v>
      </c>
    </row>
    <row r="5" spans="2:13" x14ac:dyDescent="0.3">
      <c r="B5" t="s">
        <v>10</v>
      </c>
      <c r="D5" t="str">
        <f>"getSymbols('"&amp;B5&amp;"', src = 'yahoo', from = start, to = end)"</f>
        <v>getSymbols('AAPL', src = 'yahoo', from = start, to = end)</v>
      </c>
      <c r="F5" t="str" cm="1">
        <f t="array" ref="F5">_xll.RScript.Evaluate(D5)</f>
        <v>AAPL</v>
      </c>
      <c r="G5" t="str">
        <f>"head("&amp;F5&amp;")"</f>
        <v>head(AAPL)</v>
      </c>
      <c r="H5" s="2" t="s">
        <v>11</v>
      </c>
    </row>
    <row r="6" spans="2:13" x14ac:dyDescent="0.3">
      <c r="D6" t="s">
        <v>12</v>
      </c>
      <c r="F6" t="str" cm="1">
        <f t="array" ref="F6:F7">_xll.RScript.Evaluate(D6)</f>
        <v>MSFT</v>
      </c>
    </row>
    <row r="7" spans="2:13" x14ac:dyDescent="0.3">
      <c r="F7" t="str">
        <v>GOOG</v>
      </c>
    </row>
    <row r="8" spans="2:13" ht="43.2" x14ac:dyDescent="0.3">
      <c r="D8" s="3" t="s">
        <v>13</v>
      </c>
      <c r="F8" t="str" cm="1">
        <f t="array" ref="F8">_xll.RScript.Evaluate(D8)</f>
        <v>stocks</v>
      </c>
    </row>
    <row r="9" spans="2:13" x14ac:dyDescent="0.3">
      <c r="G9" t="s">
        <v>17</v>
      </c>
      <c r="H9" t="s">
        <v>18</v>
      </c>
      <c r="I9" t="s">
        <v>19</v>
      </c>
    </row>
    <row r="10" spans="2:13" x14ac:dyDescent="0.3">
      <c r="D10" t="s">
        <v>15</v>
      </c>
      <c r="F10" t="str" cm="1">
        <f t="array" ref="F10">_xll.RScript.Evaluate(D10)</f>
        <v>stock_return</v>
      </c>
      <c r="G10" s="5" cm="1">
        <f t="array" ref="G10:I198">_xll.RScript.Evaluate(F10)</f>
        <v>1</v>
      </c>
      <c r="H10" s="4">
        <v>1</v>
      </c>
      <c r="I10" s="4">
        <v>1</v>
      </c>
      <c r="K10" t="str" cm="1">
        <f t="array" ref="K10:M198">_xll.RScript.Evaluate(F11)</f>
        <v/>
      </c>
      <c r="L10" t="str">
        <v/>
      </c>
      <c r="M10" t="str">
        <v/>
      </c>
    </row>
    <row r="11" spans="2:13" x14ac:dyDescent="0.3">
      <c r="D11" t="s">
        <v>20</v>
      </c>
      <c r="F11" t="str" cm="1">
        <f t="array" ref="F11">_xll.RScript.Evaluate(D11)</f>
        <v>stock_change</v>
      </c>
      <c r="G11">
        <v>0.97494067937459961</v>
      </c>
      <c r="H11" s="4">
        <v>1.0045620438591343</v>
      </c>
      <c r="I11" s="4">
        <v>1.0009975888175435</v>
      </c>
      <c r="K11">
        <v>-2.5378651502296456E-2</v>
      </c>
      <c r="L11">
        <v>4.5516692779443702E-3</v>
      </c>
      <c r="M11">
        <v>9.9709155649962966E-4</v>
      </c>
    </row>
    <row r="12" spans="2:13" x14ac:dyDescent="0.3">
      <c r="G12">
        <v>0.95586139920997559</v>
      </c>
      <c r="H12">
        <v>0.98631386842259694</v>
      </c>
      <c r="I12">
        <v>1.0023994582167124</v>
      </c>
      <c r="K12">
        <v>-1.9763704844924845E-2</v>
      </c>
      <c r="L12">
        <v>-1.8332319339882996E-2</v>
      </c>
      <c r="M12">
        <v>1.3994925569544847E-3</v>
      </c>
    </row>
    <row r="13" spans="2:13" x14ac:dyDescent="0.3">
      <c r="G13">
        <v>0.9155196805430883</v>
      </c>
      <c r="H13">
        <v>0.95200727911075234</v>
      </c>
      <c r="I13">
        <v>0.97917343081593</v>
      </c>
      <c r="K13">
        <v>-4.3121061708166319E-2</v>
      </c>
      <c r="L13">
        <v>-3.540194803332497E-2</v>
      </c>
      <c r="M13">
        <v>-2.3443085267814467E-2</v>
      </c>
    </row>
    <row r="14" spans="2:13" x14ac:dyDescent="0.3">
      <c r="G14">
        <v>0.9203607070605756</v>
      </c>
      <c r="H14">
        <v>0.95492705400741262</v>
      </c>
      <c r="I14">
        <v>0.96310525744733477</v>
      </c>
      <c r="K14">
        <v>5.2738051677745368E-3</v>
      </c>
      <c r="L14">
        <v>3.0622734381968719E-3</v>
      </c>
      <c r="M14">
        <v>-1.6546070395850876E-2</v>
      </c>
    </row>
    <row r="15" spans="2:13" x14ac:dyDescent="0.3">
      <c r="G15">
        <v>0.93526340964779864</v>
      </c>
      <c r="H15">
        <v>0.95437956140865632</v>
      </c>
      <c r="I15">
        <v>0.96520811296819187</v>
      </c>
      <c r="K15">
        <v>1.6062545066546807E-2</v>
      </c>
      <c r="L15">
        <v>-5.7349889152602529E-4</v>
      </c>
      <c r="M15">
        <v>2.1810317624808562E-3</v>
      </c>
    </row>
    <row r="16" spans="2:13" x14ac:dyDescent="0.3">
      <c r="G16">
        <v>0.94883721435484902</v>
      </c>
      <c r="H16">
        <v>0.96313867726484248</v>
      </c>
      <c r="I16">
        <v>0.97874210220760238</v>
      </c>
      <c r="K16">
        <v>1.440903886258349E-2</v>
      </c>
      <c r="L16">
        <v>9.1359514639153261E-3</v>
      </c>
      <c r="M16">
        <v>1.3924438813786022E-2</v>
      </c>
    </row>
    <row r="17" spans="7:13" x14ac:dyDescent="0.3">
      <c r="G17">
        <v>0.92444234266953496</v>
      </c>
      <c r="H17">
        <v>0.94233576840499222</v>
      </c>
      <c r="I17">
        <v>0.94435459860162729</v>
      </c>
      <c r="K17">
        <v>-2.6046567101793539E-2</v>
      </c>
      <c r="L17">
        <v>-2.1835753787954548E-2</v>
      </c>
      <c r="M17">
        <v>-3.5766448283629515E-2</v>
      </c>
    </row>
    <row r="18" spans="7:13" x14ac:dyDescent="0.3">
      <c r="G18">
        <v>0.94466063677744794</v>
      </c>
      <c r="H18">
        <v>0.96916060857230701</v>
      </c>
      <c r="I18">
        <v>0.96344227791693171</v>
      </c>
      <c r="K18">
        <v>2.1635065553601507E-2</v>
      </c>
      <c r="L18">
        <v>2.8068691767437759E-2</v>
      </c>
      <c r="M18">
        <v>2.0010847582720981E-2</v>
      </c>
    </row>
    <row r="19" spans="7:13" x14ac:dyDescent="0.3">
      <c r="G19">
        <v>0.92197435842657038</v>
      </c>
      <c r="H19">
        <v>0.93047449613800182</v>
      </c>
      <c r="I19">
        <v>0.9361183202044131</v>
      </c>
      <c r="K19">
        <v>-2.4308336122765173E-2</v>
      </c>
      <c r="L19">
        <v>-4.0735677941891257E-2</v>
      </c>
      <c r="M19">
        <v>-2.8770698344022794E-2</v>
      </c>
    </row>
    <row r="20" spans="7:13" x14ac:dyDescent="0.3">
      <c r="G20">
        <v>0.91751309978285012</v>
      </c>
      <c r="H20">
        <v>0.92262777513138949</v>
      </c>
      <c r="I20">
        <v>0.94601265292290948</v>
      </c>
      <c r="K20">
        <v>-4.850554833417231E-3</v>
      </c>
      <c r="L20">
        <v>-8.4687909844198828E-3</v>
      </c>
      <c r="M20">
        <v>1.0514065181949306E-2</v>
      </c>
    </row>
    <row r="21" spans="7:13" x14ac:dyDescent="0.3">
      <c r="G21">
        <v>0.91874705569458093</v>
      </c>
      <c r="H21">
        <v>0.92682484712844138</v>
      </c>
      <c r="I21">
        <v>0.94151033918534022</v>
      </c>
      <c r="K21">
        <v>1.3439883164609867E-3</v>
      </c>
      <c r="L21">
        <v>4.5387258386817564E-3</v>
      </c>
      <c r="M21">
        <v>-4.7706144988053367E-3</v>
      </c>
    </row>
    <row r="22" spans="7:13" x14ac:dyDescent="0.3">
      <c r="G22">
        <v>0.91409591311397709</v>
      </c>
      <c r="H22">
        <v>0.92116788768305935</v>
      </c>
      <c r="I22">
        <v>0.95248299342465559</v>
      </c>
      <c r="K22">
        <v>-5.0753421257097031E-3</v>
      </c>
      <c r="L22">
        <v>-6.1222936741547329E-3</v>
      </c>
      <c r="M22">
        <v>1.1586922522776266E-2</v>
      </c>
    </row>
    <row r="23" spans="7:13" x14ac:dyDescent="0.3">
      <c r="G23">
        <v>0.96269577254772176</v>
      </c>
      <c r="H23">
        <v>0.9541971102832475</v>
      </c>
      <c r="I23">
        <v>0.97763673266008089</v>
      </c>
      <c r="K23">
        <v>5.1801941818503838E-2</v>
      </c>
      <c r="L23">
        <v>3.5227956543950611E-2</v>
      </c>
      <c r="M23">
        <v>2.6065909867211801E-2</v>
      </c>
    </row>
    <row r="24" spans="7:13" x14ac:dyDescent="0.3">
      <c r="G24">
        <v>0.94390131828842294</v>
      </c>
      <c r="H24">
        <v>0.94507302256497883</v>
      </c>
      <c r="I24">
        <v>0.9593308750139482</v>
      </c>
      <c r="K24">
        <v>-1.9715820558688701E-2</v>
      </c>
      <c r="L24">
        <v>-9.6080675952037176E-3</v>
      </c>
      <c r="M24">
        <v>-1.8902125789366675E-2</v>
      </c>
    </row>
    <row r="25" spans="7:13" x14ac:dyDescent="0.3">
      <c r="G25">
        <v>0.94912196784067127</v>
      </c>
      <c r="H25">
        <v>0.95200727911075234</v>
      </c>
      <c r="I25">
        <v>0.96117764845689979</v>
      </c>
      <c r="K25">
        <v>5.5156878693098932E-3</v>
      </c>
      <c r="L25">
        <v>7.3104838229678393E-3</v>
      </c>
      <c r="M25">
        <v>1.9232135547548879E-3</v>
      </c>
    </row>
    <row r="26" spans="7:13" x14ac:dyDescent="0.3">
      <c r="G26">
        <v>0.88675841976299274</v>
      </c>
      <c r="H26">
        <v>0.9346715681350537</v>
      </c>
      <c r="I26">
        <v>0.94358624952370274</v>
      </c>
      <c r="K26">
        <v>-6.7964724149597533E-2</v>
      </c>
      <c r="L26">
        <v>-1.8377477332526482E-2</v>
      </c>
      <c r="M26">
        <v>-1.8471474731685422E-2</v>
      </c>
    </row>
    <row r="27" spans="7:13" x14ac:dyDescent="0.3">
      <c r="G27">
        <v>0.89311815567803299</v>
      </c>
      <c r="H27">
        <v>0.95000003828619572</v>
      </c>
      <c r="I27">
        <v>0.98533379887478156</v>
      </c>
      <c r="K27">
        <v>7.1462966236093273E-3</v>
      </c>
      <c r="L27">
        <v>1.6266821341496929E-2</v>
      </c>
      <c r="M27">
        <v>4.3292690800798006E-2</v>
      </c>
    </row>
    <row r="28" spans="7:13" x14ac:dyDescent="0.3">
      <c r="G28">
        <v>0.92396770524682925</v>
      </c>
      <c r="H28">
        <v>1.0052919875832995</v>
      </c>
      <c r="I28">
        <v>1.0014962803821075</v>
      </c>
      <c r="K28">
        <v>3.3958234686144451E-2</v>
      </c>
      <c r="L28">
        <v>5.6571288308993939E-2</v>
      </c>
      <c r="M28">
        <v>1.6269975181259166E-2</v>
      </c>
    </row>
    <row r="29" spans="7:13" x14ac:dyDescent="0.3">
      <c r="G29">
        <v>0.91532986902570779</v>
      </c>
      <c r="H29">
        <v>0.99835766142626103</v>
      </c>
      <c r="I29">
        <v>1.0136956603343774</v>
      </c>
      <c r="K29">
        <v>-9.3926070964407415E-3</v>
      </c>
      <c r="L29">
        <v>-6.9217229128701874E-3</v>
      </c>
      <c r="M29">
        <v>1.2107560311329202E-2</v>
      </c>
    </row>
    <row r="30" spans="7:13" x14ac:dyDescent="0.3">
      <c r="G30">
        <v>0.89682016825223132</v>
      </c>
      <c r="H30">
        <v>0.96715329813648554</v>
      </c>
      <c r="I30">
        <v>1.0307478470850608</v>
      </c>
      <c r="K30">
        <v>-2.0429152267299244E-2</v>
      </c>
      <c r="L30">
        <v>-3.175457778942592E-2</v>
      </c>
      <c r="M30">
        <v>1.6681881533555654E-2</v>
      </c>
    </row>
    <row r="31" spans="7:13" x14ac:dyDescent="0.3">
      <c r="G31">
        <v>0.91457047811717984</v>
      </c>
      <c r="H31">
        <v>0.95182482798534351</v>
      </c>
      <c r="I31">
        <v>0.97992830730260727</v>
      </c>
      <c r="K31">
        <v>1.9599171603808863E-2</v>
      </c>
      <c r="L31">
        <v>-1.5975998859105722E-2</v>
      </c>
      <c r="M31">
        <v>-5.0560469722103818E-2</v>
      </c>
    </row>
    <row r="32" spans="7:13" x14ac:dyDescent="0.3">
      <c r="G32">
        <v>0.91694352039170257</v>
      </c>
      <c r="H32">
        <v>0.94890512269994809</v>
      </c>
      <c r="I32">
        <v>0.95439723266805132</v>
      </c>
      <c r="K32">
        <v>2.5913463990825392E-3</v>
      </c>
      <c r="L32">
        <v>-3.0721961115887098E-3</v>
      </c>
      <c r="M32">
        <v>-2.6399441946928892E-2</v>
      </c>
    </row>
    <row r="33" spans="7:13" x14ac:dyDescent="0.3">
      <c r="G33">
        <v>0.89245370673794677</v>
      </c>
      <c r="H33">
        <v>0.91532847711226861</v>
      </c>
      <c r="I33">
        <v>0.92145211907919466</v>
      </c>
      <c r="K33">
        <v>-2.7071235531103355E-2</v>
      </c>
      <c r="L33">
        <v>-3.602582529878573E-2</v>
      </c>
      <c r="M33">
        <v>-3.5129155230215758E-2</v>
      </c>
    </row>
    <row r="34" spans="7:13" x14ac:dyDescent="0.3">
      <c r="G34">
        <v>0.90185100628709913</v>
      </c>
      <c r="H34">
        <v>0.90164234553486544</v>
      </c>
      <c r="I34">
        <v>0.92033327694042599</v>
      </c>
      <c r="K34">
        <v>1.0474681811406761E-2</v>
      </c>
      <c r="L34">
        <v>-1.5065063513181709E-2</v>
      </c>
      <c r="M34">
        <v>-1.2149540101846767E-3</v>
      </c>
    </row>
    <row r="35" spans="7:13" x14ac:dyDescent="0.3">
      <c r="G35">
        <v>0.90166112235021567</v>
      </c>
      <c r="H35">
        <v>0.89927006323696146</v>
      </c>
      <c r="I35">
        <v>0.914091970489883</v>
      </c>
      <c r="K35">
        <v>-2.1057128984081075E-4</v>
      </c>
      <c r="L35">
        <v>-2.63453531495772E-3</v>
      </c>
      <c r="M35">
        <v>-6.8046714273650721E-3</v>
      </c>
    </row>
    <row r="36" spans="7:13" x14ac:dyDescent="0.3">
      <c r="G36">
        <v>0.8948267490124695</v>
      </c>
      <c r="H36">
        <v>0.90711678424357367</v>
      </c>
      <c r="I36">
        <v>0.92219352297462476</v>
      </c>
      <c r="K36">
        <v>-7.6086306148046567E-3</v>
      </c>
      <c r="L36">
        <v>8.6878072347111868E-3</v>
      </c>
      <c r="M36">
        <v>8.8239057379331243E-3</v>
      </c>
    </row>
    <row r="37" spans="7:13" x14ac:dyDescent="0.3">
      <c r="G37">
        <v>0.88941621552333772</v>
      </c>
      <c r="H37">
        <v>0.90675181238149116</v>
      </c>
      <c r="I37">
        <v>0.92083196850498972</v>
      </c>
      <c r="K37">
        <v>-6.0648131233600466E-3</v>
      </c>
      <c r="L37">
        <v>-4.0242371215537531E-4</v>
      </c>
      <c r="M37">
        <v>-1.4775213078999094E-3</v>
      </c>
    </row>
    <row r="38" spans="7:13" x14ac:dyDescent="0.3">
      <c r="G38">
        <v>0.89216895325212453</v>
      </c>
      <c r="H38">
        <v>0.92153285954514186</v>
      </c>
      <c r="I38">
        <v>0.91987490030539587</v>
      </c>
      <c r="K38">
        <v>3.090214229013899E-3</v>
      </c>
      <c r="L38">
        <v>1.6169658304256096E-2</v>
      </c>
      <c r="M38">
        <v>-1.0398921219416657E-3</v>
      </c>
    </row>
    <row r="39" spans="7:13" x14ac:dyDescent="0.3">
      <c r="G39">
        <v>0.91732321584596666</v>
      </c>
      <c r="H39">
        <v>0.9322992858371496</v>
      </c>
      <c r="I39">
        <v>0.93146770511891619</v>
      </c>
      <c r="K39">
        <v>2.780435696684469E-2</v>
      </c>
      <c r="L39">
        <v>1.1615450048040987E-2</v>
      </c>
      <c r="M39">
        <v>1.2523836812683875E-2</v>
      </c>
    </row>
    <row r="40" spans="7:13" x14ac:dyDescent="0.3">
      <c r="G40">
        <v>0.93137165797572286</v>
      </c>
      <c r="H40">
        <v>0.95656932296988662</v>
      </c>
      <c r="I40">
        <v>0.95492286941510951</v>
      </c>
      <c r="K40">
        <v>1.5198519511578468E-2</v>
      </c>
      <c r="L40">
        <v>2.569937663544497E-2</v>
      </c>
      <c r="M40">
        <v>2.4869052527689117E-2</v>
      </c>
    </row>
    <row r="41" spans="7:13" x14ac:dyDescent="0.3">
      <c r="G41">
        <v>0.91371621765971311</v>
      </c>
      <c r="H41">
        <v>0.95237225097283484</v>
      </c>
      <c r="I41">
        <v>0.94002753139448003</v>
      </c>
      <c r="K41">
        <v>-1.9138361315099495E-2</v>
      </c>
      <c r="L41">
        <v>-4.3972836227768042E-3</v>
      </c>
      <c r="M41">
        <v>-1.5721408656029112E-2</v>
      </c>
    </row>
    <row r="42" spans="7:13" x14ac:dyDescent="0.3">
      <c r="G42">
        <v>0.91162792887101252</v>
      </c>
      <c r="H42">
        <v>0.94562044555247016</v>
      </c>
      <c r="I42">
        <v>0.94482644782790459</v>
      </c>
      <c r="K42">
        <v>-2.2881051814360731E-3</v>
      </c>
      <c r="L42">
        <v>-7.1147100972099864E-3</v>
      </c>
      <c r="M42">
        <v>5.0920939826086808E-3</v>
      </c>
    </row>
    <row r="43" spans="7:13" x14ac:dyDescent="0.3">
      <c r="G43">
        <v>0.91960131615204765</v>
      </c>
      <c r="H43">
        <v>0.96076646457820347</v>
      </c>
      <c r="I43">
        <v>0.95230784973844151</v>
      </c>
      <c r="K43">
        <v>8.7082900086614679E-3</v>
      </c>
      <c r="L43">
        <v>1.5890098316726498E-2</v>
      </c>
      <c r="M43">
        <v>7.8870965567556794E-3</v>
      </c>
    </row>
    <row r="44" spans="7:13" x14ac:dyDescent="0.3">
      <c r="G44">
        <v>0.89881351507249008</v>
      </c>
      <c r="H44">
        <v>0.93394162441088857</v>
      </c>
      <c r="I44">
        <v>0.93800551142110644</v>
      </c>
      <c r="K44">
        <v>-2.286464711592906E-2</v>
      </c>
      <c r="L44">
        <v>-2.8317430867103699E-2</v>
      </c>
      <c r="M44">
        <v>-1.5132529387611893E-2</v>
      </c>
    </row>
    <row r="45" spans="7:13" x14ac:dyDescent="0.3">
      <c r="G45">
        <v>0.912197435842657</v>
      </c>
      <c r="H45">
        <v>0.9372263015583665</v>
      </c>
      <c r="I45">
        <v>0.94300661956744758</v>
      </c>
      <c r="K45">
        <v>1.4780876319658187E-2</v>
      </c>
      <c r="L45">
        <v>3.5108345710614941E-3</v>
      </c>
      <c r="M45">
        <v>5.317477594155573E-3</v>
      </c>
    </row>
    <row r="46" spans="7:13" x14ac:dyDescent="0.3">
      <c r="G46">
        <v>0.91846230220875869</v>
      </c>
      <c r="H46">
        <v>0.95072991239909588</v>
      </c>
      <c r="I46">
        <v>0.95135067869463963</v>
      </c>
      <c r="K46">
        <v>6.8444077212315158E-3</v>
      </c>
      <c r="L46">
        <v>1.4305248206320176E-2</v>
      </c>
      <c r="M46">
        <v>8.8094395892004407E-3</v>
      </c>
    </row>
    <row r="47" spans="7:13" x14ac:dyDescent="0.3">
      <c r="G47">
        <v>0.91988614205737296</v>
      </c>
      <c r="H47">
        <v>0.93613138597211887</v>
      </c>
      <c r="I47">
        <v>0.95043413111299546</v>
      </c>
      <c r="K47">
        <v>1.5490427157787146E-3</v>
      </c>
      <c r="L47">
        <v>-1.5474182167208195E-2</v>
      </c>
      <c r="M47">
        <v>-9.6388155786986118E-4</v>
      </c>
    </row>
    <row r="48" spans="7:13" x14ac:dyDescent="0.3">
      <c r="G48">
        <v>0.91779785326867236</v>
      </c>
      <c r="H48">
        <v>0.92846718570218034</v>
      </c>
      <c r="I48">
        <v>0.94059368875948801</v>
      </c>
      <c r="K48">
        <v>-2.2727407899365559E-3</v>
      </c>
      <c r="L48">
        <v>-8.2207972799124285E-3</v>
      </c>
      <c r="M48">
        <v>-1.0407600644275483E-2</v>
      </c>
    </row>
    <row r="49" spans="7:13" x14ac:dyDescent="0.3">
      <c r="G49">
        <v>0.95424774784398092</v>
      </c>
      <c r="H49">
        <v>0.95948909786654701</v>
      </c>
      <c r="I49">
        <v>0.96895555021908386</v>
      </c>
      <c r="K49">
        <v>3.8946168529365721E-2</v>
      </c>
      <c r="L49">
        <v>3.2865914101204208E-2</v>
      </c>
      <c r="M49">
        <v>2.9707479346053223E-2</v>
      </c>
    </row>
    <row r="50" spans="7:13" x14ac:dyDescent="0.3">
      <c r="G50">
        <v>0.95633603663268141</v>
      </c>
      <c r="H50">
        <v>0.9662409032869117</v>
      </c>
      <c r="I50">
        <v>0.96900954342828083</v>
      </c>
      <c r="K50">
        <v>2.1860225521388443E-3</v>
      </c>
      <c r="L50">
        <v>7.0122323301911038E-3</v>
      </c>
      <c r="M50">
        <v>5.5721549771625689E-5</v>
      </c>
    </row>
    <row r="51" spans="7:13" x14ac:dyDescent="0.3">
      <c r="G51">
        <v>0.96345516345624971</v>
      </c>
      <c r="H51">
        <v>0.95529195625823027</v>
      </c>
      <c r="I51">
        <v>0.96034183357853109</v>
      </c>
      <c r="K51">
        <v>7.4165976550495394E-3</v>
      </c>
      <c r="L51">
        <v>-1.1396178287186309E-2</v>
      </c>
      <c r="M51">
        <v>-8.9851628555215335E-3</v>
      </c>
    </row>
    <row r="52" spans="7:13" x14ac:dyDescent="0.3">
      <c r="G52">
        <v>0.97778835907182815</v>
      </c>
      <c r="H52">
        <v>0.94945254568743942</v>
      </c>
      <c r="I52">
        <v>0.95827939583141575</v>
      </c>
      <c r="K52">
        <v>1.4767293151848104E-2</v>
      </c>
      <c r="L52">
        <v>-6.1314563282190981E-3</v>
      </c>
      <c r="M52">
        <v>-2.1499173572232522E-3</v>
      </c>
    </row>
    <row r="53" spans="7:13" x14ac:dyDescent="0.3">
      <c r="G53">
        <v>0.96696729209356458</v>
      </c>
      <c r="H53">
        <v>0.93120437025090197</v>
      </c>
      <c r="I53">
        <v>0.93707538840400706</v>
      </c>
      <c r="K53">
        <v>-1.1128574070077946E-2</v>
      </c>
      <c r="L53">
        <v>-1.9406780686091363E-2</v>
      </c>
      <c r="M53">
        <v>-2.2375644158685759E-2</v>
      </c>
    </row>
    <row r="54" spans="7:13" x14ac:dyDescent="0.3">
      <c r="G54">
        <v>0.95899383239302649</v>
      </c>
      <c r="H54">
        <v>0.94251828914166591</v>
      </c>
      <c r="I54">
        <v>0.93547132729192173</v>
      </c>
      <c r="K54">
        <v>-8.2800272065521874E-3</v>
      </c>
      <c r="L54">
        <v>1.2076553953721092E-2</v>
      </c>
      <c r="M54">
        <v>-1.7132405733777389E-3</v>
      </c>
    </row>
    <row r="55" spans="7:13" x14ac:dyDescent="0.3">
      <c r="G55">
        <v>0.95984816526999617</v>
      </c>
      <c r="H55">
        <v>0.96423359285109012</v>
      </c>
      <c r="I55">
        <v>0.9506632680084065</v>
      </c>
      <c r="K55">
        <v>8.904672030971561E-4</v>
      </c>
      <c r="L55">
        <v>2.2778257433542226E-2</v>
      </c>
      <c r="M55">
        <v>1.6109422196810552E-2</v>
      </c>
    </row>
    <row r="56" spans="7:13" x14ac:dyDescent="0.3">
      <c r="G56">
        <v>0.96032273027319892</v>
      </c>
      <c r="H56">
        <v>0.94981751754952193</v>
      </c>
      <c r="I56">
        <v>0.96088104576104461</v>
      </c>
      <c r="K56">
        <v>4.9429455885086071E-4</v>
      </c>
      <c r="L56">
        <v>-1.5063702138699675E-2</v>
      </c>
      <c r="M56">
        <v>1.0690701748956144E-2</v>
      </c>
    </row>
    <row r="57" spans="7:13" x14ac:dyDescent="0.3">
      <c r="G57">
        <v>0.97066923224825985</v>
      </c>
      <c r="H57">
        <v>0.968430664848142</v>
      </c>
      <c r="I57">
        <v>0.97975306077218516</v>
      </c>
      <c r="K57">
        <v>1.0716358423031647E-2</v>
      </c>
      <c r="L57">
        <v>1.9407010686205428E-2</v>
      </c>
      <c r="M57">
        <v>1.9449941526310077E-2</v>
      </c>
    </row>
    <row r="58" spans="7:13" x14ac:dyDescent="0.3">
      <c r="G58">
        <v>0.97313714407172136</v>
      </c>
      <c r="H58">
        <v>0.97025545454728979</v>
      </c>
      <c r="I58">
        <v>0.98470027855353737</v>
      </c>
      <c r="K58">
        <v>2.5392582096475103E-3</v>
      </c>
      <c r="L58">
        <v>1.8825019891406392E-3</v>
      </c>
      <c r="M58">
        <v>5.0367480266104714E-3</v>
      </c>
    </row>
    <row r="59" spans="7:13" x14ac:dyDescent="0.3">
      <c r="G59">
        <v>0.99269106165905119</v>
      </c>
      <c r="H59">
        <v>0.97791972442849329</v>
      </c>
      <c r="I59">
        <v>0.98178855333680604</v>
      </c>
      <c r="K59">
        <v>1.9894477516948061E-2</v>
      </c>
      <c r="L59">
        <v>7.8681932755735318E-3</v>
      </c>
      <c r="M59">
        <v>-2.9613464336986084E-3</v>
      </c>
    </row>
    <row r="60" spans="7:13" x14ac:dyDescent="0.3">
      <c r="G60">
        <v>1.0058851709118375</v>
      </c>
      <c r="H60">
        <v>0.99178830713130517</v>
      </c>
      <c r="I60">
        <v>0.99224904342031039</v>
      </c>
      <c r="K60">
        <v>1.3203700437436794E-2</v>
      </c>
      <c r="L60">
        <v>1.4082099138089887E-2</v>
      </c>
      <c r="M60">
        <v>1.0598164909980667E-2</v>
      </c>
    </row>
    <row r="61" spans="7:13" x14ac:dyDescent="0.3">
      <c r="G61">
        <v>1.0042715195458427</v>
      </c>
      <c r="H61">
        <v>0.9974452665766872</v>
      </c>
      <c r="I61">
        <v>0.99452714547158949</v>
      </c>
      <c r="K61">
        <v>-1.6054984372817493E-3</v>
      </c>
      <c r="L61">
        <v>5.687592216170767E-3</v>
      </c>
      <c r="M61">
        <v>2.293265907259201E-3</v>
      </c>
    </row>
    <row r="62" spans="7:13" x14ac:dyDescent="0.3">
      <c r="G62">
        <v>1.0054105334891319</v>
      </c>
      <c r="H62">
        <v>0.9760949347293455</v>
      </c>
      <c r="I62">
        <v>0.99428453598493127</v>
      </c>
      <c r="K62">
        <v>1.1335266327598958E-3</v>
      </c>
      <c r="L62">
        <v>-2.1637425786105169E-2</v>
      </c>
      <c r="M62">
        <v>-2.4397431906075795E-4</v>
      </c>
    </row>
    <row r="63" spans="7:13" x14ac:dyDescent="0.3">
      <c r="G63">
        <v>1.005315663940193</v>
      </c>
      <c r="H63">
        <v>0.98284674014971019</v>
      </c>
      <c r="I63">
        <v>1.0003370204695969</v>
      </c>
      <c r="K63">
        <v>-9.4363468412961282E-5</v>
      </c>
      <c r="L63">
        <v>6.8933467934044756E-3</v>
      </c>
      <c r="M63">
        <v>6.0688234732690916E-3</v>
      </c>
    </row>
    <row r="64" spans="7:13" x14ac:dyDescent="0.3">
      <c r="G64">
        <v>1.0130042977354059</v>
      </c>
      <c r="H64">
        <v>0.98667884028467945</v>
      </c>
      <c r="I64">
        <v>0.9985306648003871</v>
      </c>
      <c r="K64">
        <v>7.6188821725491351E-3</v>
      </c>
      <c r="L64">
        <v>3.8913990341873372E-3</v>
      </c>
      <c r="M64">
        <v>-1.8073794221042938E-3</v>
      </c>
    </row>
    <row r="65" spans="7:13" x14ac:dyDescent="0.3">
      <c r="G65">
        <v>1.0074038803093905</v>
      </c>
      <c r="H65">
        <v>0.98485405058553166</v>
      </c>
      <c r="I65">
        <v>0.99490458371492818</v>
      </c>
      <c r="K65">
        <v>-5.5438617113678923E-3</v>
      </c>
      <c r="L65">
        <v>-1.8511385010961945E-3</v>
      </c>
      <c r="M65">
        <v>-3.638026454579002E-3</v>
      </c>
    </row>
    <row r="66" spans="7:13" x14ac:dyDescent="0.3">
      <c r="G66">
        <v>1.0030374912146089</v>
      </c>
      <c r="H66">
        <v>0.98923357370799225</v>
      </c>
      <c r="I66">
        <v>0.99118409164653065</v>
      </c>
      <c r="K66">
        <v>-4.3437187694257418E-3</v>
      </c>
      <c r="L66">
        <v>4.4370171349839005E-3</v>
      </c>
      <c r="M66">
        <v>-3.7465562001322006E-3</v>
      </c>
    </row>
    <row r="67" spans="7:13" x14ac:dyDescent="0.3">
      <c r="G67">
        <v>0.99848129060244695</v>
      </c>
      <c r="H67">
        <v>0.97700732957891934</v>
      </c>
      <c r="I67">
        <v>0.98879810602106555</v>
      </c>
      <c r="K67">
        <v>-4.552751164220048E-3</v>
      </c>
      <c r="L67">
        <v>-1.2436321191632072E-2</v>
      </c>
      <c r="M67">
        <v>-2.4101093264548012E-3</v>
      </c>
    </row>
    <row r="68" spans="7:13" x14ac:dyDescent="0.3">
      <c r="G68">
        <v>1.022116771379233</v>
      </c>
      <c r="H68">
        <v>0.99835766142626103</v>
      </c>
      <c r="I68">
        <v>1.0039496289638086</v>
      </c>
      <c r="K68">
        <v>2.339560676984398E-2</v>
      </c>
      <c r="L68">
        <v>2.1617436149465874E-2</v>
      </c>
      <c r="M68">
        <v>1.5206957368505858E-2</v>
      </c>
    </row>
    <row r="69" spans="7:13" x14ac:dyDescent="0.3">
      <c r="G69">
        <v>1.0399620232126232</v>
      </c>
      <c r="H69">
        <v>1.0045620438591343</v>
      </c>
      <c r="I69">
        <v>1.0117141609789535</v>
      </c>
      <c r="K69">
        <v>1.7308453380623146E-2</v>
      </c>
      <c r="L69">
        <v>6.1953579681137683E-3</v>
      </c>
      <c r="M69">
        <v>7.7042316871347438E-3</v>
      </c>
    </row>
    <row r="70" spans="7:13" x14ac:dyDescent="0.3">
      <c r="G70">
        <v>1.0345514897234915</v>
      </c>
      <c r="H70">
        <v>1.0078467210066122</v>
      </c>
      <c r="I70">
        <v>1.0041923412946749</v>
      </c>
      <c r="K70">
        <v>-5.2162068101626602E-3</v>
      </c>
      <c r="L70">
        <v>3.2644263151189179E-3</v>
      </c>
      <c r="M70">
        <v>-7.4625034272379764E-3</v>
      </c>
    </row>
    <row r="71" spans="7:13" x14ac:dyDescent="0.3">
      <c r="G71">
        <v>1.0440436588215827</v>
      </c>
      <c r="H71">
        <v>1.0140511034394857</v>
      </c>
      <c r="I71">
        <v>1.0108783461005848</v>
      </c>
      <c r="K71">
        <v>9.133317846005351E-3</v>
      </c>
      <c r="L71">
        <v>6.1372061753131035E-3</v>
      </c>
      <c r="M71">
        <v>6.6360246154957281E-3</v>
      </c>
    </row>
    <row r="72" spans="7:13" x14ac:dyDescent="0.3">
      <c r="G72">
        <v>1.0547698562509076</v>
      </c>
      <c r="H72">
        <v>1.0114963700161728</v>
      </c>
      <c r="I72">
        <v>1.004650615085497</v>
      </c>
      <c r="K72">
        <v>1.0221290016366513E-2</v>
      </c>
      <c r="L72">
        <v>-2.5225128627734961E-3</v>
      </c>
      <c r="M72">
        <v>-6.1797681447579578E-3</v>
      </c>
    </row>
    <row r="73" spans="7:13" x14ac:dyDescent="0.3">
      <c r="G73">
        <v>1.0423350654871462</v>
      </c>
      <c r="H73">
        <v>0.99562047687753941</v>
      </c>
      <c r="I73">
        <v>0.99455409065408407</v>
      </c>
      <c r="K73">
        <v>-1.1859145786732306E-2</v>
      </c>
      <c r="L73">
        <v>-1.5819930231824042E-2</v>
      </c>
      <c r="M73">
        <v>-1.0100626756033737E-2</v>
      </c>
    </row>
    <row r="74" spans="7:13" x14ac:dyDescent="0.3">
      <c r="G74">
        <v>1.0532510744338515</v>
      </c>
      <c r="H74">
        <v>1.0058394105707908</v>
      </c>
      <c r="I74">
        <v>1.0051898272680104</v>
      </c>
      <c r="K74">
        <v>1.0418190378992165E-2</v>
      </c>
      <c r="L74">
        <v>1.0211568621909084E-2</v>
      </c>
      <c r="M74">
        <v>1.0637198897869293E-2</v>
      </c>
    </row>
    <row r="75" spans="7:13" x14ac:dyDescent="0.3">
      <c r="G75">
        <v>1.0302800425971517</v>
      </c>
      <c r="H75">
        <v>0.99379561756712664</v>
      </c>
      <c r="I75">
        <v>0.99789714447914291</v>
      </c>
      <c r="K75">
        <v>-2.2050990685419602E-2</v>
      </c>
      <c r="L75">
        <v>-1.2046136892796877E-2</v>
      </c>
      <c r="M75">
        <v>-7.2814761546955431E-3</v>
      </c>
    </row>
    <row r="76" spans="7:13" x14ac:dyDescent="0.3">
      <c r="G76">
        <v>1.0314191289599437</v>
      </c>
      <c r="H76">
        <v>0.99306567384296163</v>
      </c>
      <c r="I76">
        <v>0.99637391891454108</v>
      </c>
      <c r="K76">
        <v>1.104997755647652E-3</v>
      </c>
      <c r="L76">
        <v>-7.347707262321812E-4</v>
      </c>
      <c r="M76">
        <v>-1.5276016272549597E-3</v>
      </c>
    </row>
    <row r="77" spans="7:13" x14ac:dyDescent="0.3">
      <c r="G77">
        <v>1.0348362432093137</v>
      </c>
      <c r="H77">
        <v>0.99105843301840502</v>
      </c>
      <c r="I77">
        <v>0.99226251601155768</v>
      </c>
      <c r="K77">
        <v>3.3075460183913385E-3</v>
      </c>
      <c r="L77">
        <v>-2.0233023754685497E-3</v>
      </c>
      <c r="M77">
        <v>-4.1349023769639004E-3</v>
      </c>
    </row>
    <row r="78" spans="7:13" x14ac:dyDescent="0.3">
      <c r="G78">
        <v>1.0483151783674254</v>
      </c>
      <c r="H78">
        <v>0.99726281545127837</v>
      </c>
      <c r="I78">
        <v>1.0016849995037767</v>
      </c>
      <c r="K78">
        <v>1.2941088323902949E-2</v>
      </c>
      <c r="L78">
        <v>6.240845210571333E-3</v>
      </c>
      <c r="M78">
        <v>9.451155115050458E-3</v>
      </c>
    </row>
    <row r="79" spans="7:13" x14ac:dyDescent="0.3">
      <c r="G79">
        <v>1.0635026344404706</v>
      </c>
      <c r="H79">
        <v>1.0100364825678425</v>
      </c>
      <c r="I79">
        <v>1.0133182220910386</v>
      </c>
      <c r="K79">
        <v>1.4383549395209361E-2</v>
      </c>
      <c r="L79">
        <v>1.2727389043345028E-2</v>
      </c>
      <c r="M79">
        <v>1.1546732743873633E-2</v>
      </c>
    </row>
    <row r="80" spans="7:13" x14ac:dyDescent="0.3">
      <c r="G80">
        <v>1.064072141412115</v>
      </c>
      <c r="H80">
        <v>1.0102190033045164</v>
      </c>
      <c r="I80">
        <v>1.0153132968819178</v>
      </c>
      <c r="K80">
        <v>5.3535790300829333E-4</v>
      </c>
      <c r="L80">
        <v>1.8069074772686378E-4</v>
      </c>
      <c r="M80">
        <v>1.9669175159964247E-3</v>
      </c>
    </row>
    <row r="81" spans="7:13" x14ac:dyDescent="0.3">
      <c r="G81">
        <v>1.04271476094141</v>
      </c>
      <c r="H81">
        <v>1.0155109908878157</v>
      </c>
      <c r="I81">
        <v>1.0231317192620517</v>
      </c>
      <c r="K81">
        <v>-2.0275531526297907E-2</v>
      </c>
      <c r="L81">
        <v>5.2247828062101931E-3</v>
      </c>
      <c r="M81">
        <v>7.6710047681620708E-3</v>
      </c>
    </row>
    <row r="82" spans="7:13" x14ac:dyDescent="0.3">
      <c r="G82">
        <v>1.020218366527416</v>
      </c>
      <c r="H82">
        <v>1.0302919684402017</v>
      </c>
      <c r="I82">
        <v>1.0333900176326394</v>
      </c>
      <c r="K82">
        <v>-2.181096995966092E-2</v>
      </c>
      <c r="L82">
        <v>1.4450301469078219E-2</v>
      </c>
      <c r="M82">
        <v>9.9764405791611388E-3</v>
      </c>
    </row>
    <row r="83" spans="7:13" x14ac:dyDescent="0.3">
      <c r="G83">
        <v>1.0148078330382841</v>
      </c>
      <c r="H83">
        <v>1.0290146017285451</v>
      </c>
      <c r="I83">
        <v>1.0162973102640063</v>
      </c>
      <c r="K83">
        <v>-5.3174217008491453E-3</v>
      </c>
      <c r="L83">
        <v>-1.2405796145040782E-3</v>
      </c>
      <c r="M83">
        <v>-1.6678742530380042E-2</v>
      </c>
    </row>
    <row r="84" spans="7:13" x14ac:dyDescent="0.3">
      <c r="G84">
        <v>1.0168960494074817</v>
      </c>
      <c r="H84">
        <v>1.0144160753015681</v>
      </c>
      <c r="I84">
        <v>1.0145988381689823</v>
      </c>
      <c r="K84">
        <v>2.0556313570834206E-3</v>
      </c>
      <c r="L84">
        <v>-1.4288495285076586E-2</v>
      </c>
      <c r="M84">
        <v>-1.6726335241901147E-3</v>
      </c>
    </row>
    <row r="85" spans="7:13" x14ac:dyDescent="0.3">
      <c r="G85">
        <v>1.0058851709118375</v>
      </c>
      <c r="H85">
        <v>1.0178832035744549</v>
      </c>
      <c r="I85">
        <v>1.0233204383837209</v>
      </c>
      <c r="K85">
        <v>-1.0886977930552266E-2</v>
      </c>
      <c r="L85">
        <v>3.4120286048402448E-3</v>
      </c>
      <c r="M85">
        <v>8.5593708862239382E-3</v>
      </c>
    </row>
    <row r="86" spans="7:13" x14ac:dyDescent="0.3">
      <c r="G86">
        <v>1.0031324331830509</v>
      </c>
      <c r="H86">
        <v>0.94489050182830503</v>
      </c>
      <c r="I86">
        <v>0.96890165985409493</v>
      </c>
      <c r="K86">
        <v>-2.7403836042676488E-3</v>
      </c>
      <c r="L86">
        <v>-7.441140956650738E-2</v>
      </c>
      <c r="M86">
        <v>-5.4644830383773879E-2</v>
      </c>
    </row>
    <row r="87" spans="7:13" x14ac:dyDescent="0.3">
      <c r="G87">
        <v>0.99743714620809676</v>
      </c>
      <c r="H87">
        <v>0.95091243313576956</v>
      </c>
      <c r="I87">
        <v>0.97480594583504099</v>
      </c>
      <c r="K87">
        <v>-5.6936808591259158E-3</v>
      </c>
      <c r="L87">
        <v>6.3529298852849081E-3</v>
      </c>
      <c r="M87">
        <v>6.0753007539799952E-3</v>
      </c>
    </row>
    <row r="88" spans="7:13" x14ac:dyDescent="0.3">
      <c r="G88">
        <v>0.99050783090190886</v>
      </c>
      <c r="H88">
        <v>0.93868611939543178</v>
      </c>
      <c r="I88">
        <v>0.95457247919847343</v>
      </c>
      <c r="K88">
        <v>-6.9713633421701893E-3</v>
      </c>
      <c r="L88">
        <v>-1.2940827401461075E-2</v>
      </c>
      <c r="M88">
        <v>-2.0974846788249124E-2</v>
      </c>
    </row>
    <row r="89" spans="7:13" x14ac:dyDescent="0.3">
      <c r="G89">
        <v>0.92852397827849431</v>
      </c>
      <c r="H89">
        <v>0.929562031677163</v>
      </c>
      <c r="I89">
        <v>0.9514720348600727</v>
      </c>
      <c r="K89">
        <v>-6.4621566909065731E-2</v>
      </c>
      <c r="L89">
        <v>-9.7676106400959029E-3</v>
      </c>
      <c r="M89">
        <v>-3.2532787666585961E-3</v>
      </c>
    </row>
    <row r="90" spans="7:13" x14ac:dyDescent="0.3">
      <c r="G90">
        <v>0.90014241295266262</v>
      </c>
      <c r="H90">
        <v>0.9105839821277254</v>
      </c>
      <c r="I90">
        <v>0.93149465030141065</v>
      </c>
      <c r="K90">
        <v>-3.1043217786994148E-2</v>
      </c>
      <c r="L90">
        <v>-2.0627409256111395E-2</v>
      </c>
      <c r="M90">
        <v>-2.1219848796936169E-2</v>
      </c>
    </row>
    <row r="91" spans="7:13" x14ac:dyDescent="0.3">
      <c r="G91">
        <v>0.88979591097760169</v>
      </c>
      <c r="H91">
        <v>0.91003648952896909</v>
      </c>
      <c r="I91">
        <v>0.93417723862273094</v>
      </c>
      <c r="K91">
        <v>-1.156086449877769E-2</v>
      </c>
      <c r="L91">
        <v>-6.0143519616850938E-4</v>
      </c>
      <c r="M91">
        <v>2.8757362813522924E-3</v>
      </c>
    </row>
    <row r="92" spans="7:13" x14ac:dyDescent="0.3">
      <c r="G92">
        <v>0.88884670855169323</v>
      </c>
      <c r="H92">
        <v>0.92354016998096344</v>
      </c>
      <c r="I92">
        <v>0.94118679130699046</v>
      </c>
      <c r="K92">
        <v>-1.0673336010253998E-3</v>
      </c>
      <c r="L92">
        <v>1.4729599145847594E-2</v>
      </c>
      <c r="M92">
        <v>7.4754396637608522E-3</v>
      </c>
    </row>
    <row r="93" spans="7:13" x14ac:dyDescent="0.3">
      <c r="G93">
        <v>0.90346465765309392</v>
      </c>
      <c r="H93">
        <v>0.90839415095523013</v>
      </c>
      <c r="I93">
        <v>0.93330100597062049</v>
      </c>
      <c r="K93">
        <v>1.6312202794620756E-2</v>
      </c>
      <c r="L93">
        <v>-1.653592486840072E-2</v>
      </c>
      <c r="M93">
        <v>-8.4138524339762988E-3</v>
      </c>
    </row>
    <row r="94" spans="7:13" x14ac:dyDescent="0.3">
      <c r="G94">
        <v>0.89406743052344451</v>
      </c>
      <c r="H94">
        <v>0.91003648952896909</v>
      </c>
      <c r="I94">
        <v>0.93780331970818986</v>
      </c>
      <c r="K94">
        <v>-1.0455794144525132E-2</v>
      </c>
      <c r="L94">
        <v>1.806325722553126E-3</v>
      </c>
      <c r="M94">
        <v>4.8124761032450891E-3</v>
      </c>
    </row>
    <row r="95" spans="7:13" x14ac:dyDescent="0.3">
      <c r="G95">
        <v>0.88504982642855612</v>
      </c>
      <c r="H95">
        <v>0.91131385624062555</v>
      </c>
      <c r="I95">
        <v>0.945527331105385</v>
      </c>
      <c r="K95">
        <v>-1.0137253498279541E-2</v>
      </c>
      <c r="L95">
        <v>1.4026592127684978E-3</v>
      </c>
      <c r="M95">
        <v>8.2025476523925889E-3</v>
      </c>
    </row>
    <row r="96" spans="7:13" x14ac:dyDescent="0.3">
      <c r="G96">
        <v>0.88011393036213015</v>
      </c>
      <c r="H96">
        <v>0.91952554910932038</v>
      </c>
      <c r="I96">
        <v>0.95858947111851822</v>
      </c>
      <c r="K96">
        <v>-5.5925790594870683E-3</v>
      </c>
      <c r="L96">
        <v>8.9704732271451704E-3</v>
      </c>
      <c r="M96">
        <v>1.3720108871662529E-2</v>
      </c>
    </row>
    <row r="97" spans="7:13" x14ac:dyDescent="0.3">
      <c r="G97">
        <v>0.88077837930221636</v>
      </c>
      <c r="H97">
        <v>0.91368613853852965</v>
      </c>
      <c r="I97">
        <v>0.9609889293352305</v>
      </c>
      <c r="K97">
        <v>7.5467303477338987E-4</v>
      </c>
      <c r="L97">
        <v>-6.3707103330825632E-3</v>
      </c>
      <c r="M97">
        <v>2.4999858988290491E-3</v>
      </c>
    </row>
    <row r="98" spans="7:13" x14ac:dyDescent="0.3">
      <c r="G98">
        <v>0.88675841976299274</v>
      </c>
      <c r="H98">
        <v>0.93102191912549315</v>
      </c>
      <c r="I98">
        <v>0.97484636360878274</v>
      </c>
      <c r="K98">
        <v>6.7665502419713697E-3</v>
      </c>
      <c r="L98">
        <v>1.8795701439034307E-2</v>
      </c>
      <c r="M98">
        <v>1.4316993834205594E-2</v>
      </c>
    </row>
    <row r="99" spans="7:13" x14ac:dyDescent="0.3">
      <c r="G99">
        <v>0.87812058354187128</v>
      </c>
      <c r="H99">
        <v>0.93156934211298448</v>
      </c>
      <c r="I99">
        <v>0.96421062699485627</v>
      </c>
      <c r="K99">
        <v>-9.7886655986050286E-3</v>
      </c>
      <c r="L99">
        <v>5.8780797982427302E-4</v>
      </c>
      <c r="M99">
        <v>-1.0970119317876836E-2</v>
      </c>
    </row>
    <row r="100" spans="7:13" x14ac:dyDescent="0.3">
      <c r="G100">
        <v>0.85752252156019126</v>
      </c>
      <c r="H100">
        <v>0.93996348610708813</v>
      </c>
      <c r="I100">
        <v>0.96154161410899119</v>
      </c>
      <c r="K100">
        <v>-2.3736480185621467E-2</v>
      </c>
      <c r="L100">
        <v>8.9704013265032856E-3</v>
      </c>
      <c r="M100">
        <v>-2.7719189809061184E-3</v>
      </c>
    </row>
    <row r="101" spans="7:13" x14ac:dyDescent="0.3">
      <c r="G101">
        <v>0.85923111489462778</v>
      </c>
      <c r="H101">
        <v>0.93211683471174078</v>
      </c>
      <c r="I101">
        <v>0.95819856028393224</v>
      </c>
      <c r="K101">
        <v>1.9904939908501618E-3</v>
      </c>
      <c r="L101">
        <v>-8.3828639810916705E-3</v>
      </c>
      <c r="M101">
        <v>-3.4828225704037763E-3</v>
      </c>
    </row>
    <row r="102" spans="7:13" x14ac:dyDescent="0.3">
      <c r="G102">
        <v>0.89112480885777423</v>
      </c>
      <c r="H102">
        <v>0.94580296628914384</v>
      </c>
      <c r="I102">
        <v>0.9658282635423967</v>
      </c>
      <c r="K102">
        <v>3.6446558046173472E-2</v>
      </c>
      <c r="L102">
        <v>1.457610051855962E-2</v>
      </c>
      <c r="M102">
        <v>7.9310154691607515E-3</v>
      </c>
    </row>
    <row r="103" spans="7:13" x14ac:dyDescent="0.3">
      <c r="G103">
        <v>0.88742286870307896</v>
      </c>
      <c r="H103">
        <v>0.92171531067055068</v>
      </c>
      <c r="I103">
        <v>0.95199777445133904</v>
      </c>
      <c r="K103">
        <v>-4.1628858731206364E-3</v>
      </c>
      <c r="L103">
        <v>-2.5797864280125538E-2</v>
      </c>
      <c r="M103">
        <v>-1.4423340368154403E-2</v>
      </c>
    </row>
    <row r="104" spans="7:13" x14ac:dyDescent="0.3">
      <c r="G104">
        <v>0.89757948674125632</v>
      </c>
      <c r="H104">
        <v>0.92718981899052388</v>
      </c>
      <c r="I104">
        <v>0.95253698663385256</v>
      </c>
      <c r="K104">
        <v>1.1380071985798157E-2</v>
      </c>
      <c r="L104">
        <v>5.9219093840323644E-3</v>
      </c>
      <c r="M104">
        <v>5.6624033116969841E-4</v>
      </c>
    </row>
    <row r="105" spans="7:13" x14ac:dyDescent="0.3">
      <c r="G105">
        <v>0.89416230007238329</v>
      </c>
      <c r="H105">
        <v>0.91824818239766393</v>
      </c>
      <c r="I105">
        <v>0.94403105072327764</v>
      </c>
      <c r="K105">
        <v>-3.8143786534567958E-3</v>
      </c>
      <c r="L105">
        <v>-9.6906063061235059E-3</v>
      </c>
      <c r="M105">
        <v>-8.9698790387204852E-3</v>
      </c>
    </row>
    <row r="106" spans="7:13" x14ac:dyDescent="0.3">
      <c r="G106">
        <v>0.90384435310735789</v>
      </c>
      <c r="H106">
        <v>0.92372262110637215</v>
      </c>
      <c r="I106">
        <v>0.95672922508431935</v>
      </c>
      <c r="K106">
        <v>1.076986740045438E-2</v>
      </c>
      <c r="L106">
        <v>5.9441276888376748E-3</v>
      </c>
      <c r="M106">
        <v>1.3361351701906443E-2</v>
      </c>
    </row>
    <row r="107" spans="7:13" x14ac:dyDescent="0.3">
      <c r="G107">
        <v>0.91532986902570779</v>
      </c>
      <c r="H107">
        <v>0.91295619481436452</v>
      </c>
      <c r="I107">
        <v>0.94931528897422668</v>
      </c>
      <c r="K107">
        <v>1.2627343100840793E-2</v>
      </c>
      <c r="L107">
        <v>-1.1723932915630897E-2</v>
      </c>
      <c r="M107">
        <v>-7.7794337394205826E-3</v>
      </c>
    </row>
    <row r="108" spans="7:13" x14ac:dyDescent="0.3">
      <c r="G108">
        <v>0.92928336918702226</v>
      </c>
      <c r="H108">
        <v>0.94142337355541827</v>
      </c>
      <c r="I108">
        <v>0.9706810703408103</v>
      </c>
      <c r="K108">
        <v>1.5129205435529425E-2</v>
      </c>
      <c r="L108">
        <v>3.0705057113570966E-2</v>
      </c>
      <c r="M108">
        <v>2.2256983206011771E-2</v>
      </c>
    </row>
    <row r="109" spans="7:13" x14ac:dyDescent="0.3">
      <c r="G109">
        <v>0.94560991162285946</v>
      </c>
      <c r="H109">
        <v>0.95109488426117839</v>
      </c>
      <c r="I109">
        <v>0.97766367784257535</v>
      </c>
      <c r="K109">
        <v>1.7416410093163748E-2</v>
      </c>
      <c r="L109">
        <v>1.0220873548997478E-2</v>
      </c>
      <c r="M109">
        <v>7.1677637169780262E-3</v>
      </c>
    </row>
    <row r="110" spans="7:13" x14ac:dyDescent="0.3">
      <c r="G110">
        <v>0.95310873390069184</v>
      </c>
      <c r="H110">
        <v>0.94689781226412661</v>
      </c>
      <c r="I110">
        <v>0.97611350709547906</v>
      </c>
      <c r="K110">
        <v>7.8988651471791904E-3</v>
      </c>
      <c r="L110">
        <v>-4.4226501460227219E-3</v>
      </c>
      <c r="M110">
        <v>-1.5868453008196504E-3</v>
      </c>
    </row>
    <row r="111" spans="7:13" x14ac:dyDescent="0.3">
      <c r="G111">
        <v>0.95253915450954429</v>
      </c>
      <c r="H111">
        <v>0.95474453327073894</v>
      </c>
      <c r="I111">
        <v>0.98762537351730795</v>
      </c>
      <c r="K111">
        <v>-5.9778032612722853E-4</v>
      </c>
      <c r="L111">
        <v>8.2526196988363942E-3</v>
      </c>
      <c r="M111">
        <v>1.1724571335788081E-2</v>
      </c>
    </row>
    <row r="112" spans="7:13" x14ac:dyDescent="0.3">
      <c r="G112">
        <v>0.94788801192894057</v>
      </c>
      <c r="H112">
        <v>0.96715329813648554</v>
      </c>
      <c r="I112">
        <v>0.99175024901153863</v>
      </c>
      <c r="K112">
        <v>-4.8948488522415623E-3</v>
      </c>
      <c r="L112">
        <v>1.2913212236049354E-2</v>
      </c>
      <c r="M112">
        <v>4.1678612370534829E-3</v>
      </c>
    </row>
    <row r="113" spans="7:13" x14ac:dyDescent="0.3">
      <c r="G113">
        <v>0.93459896070771231</v>
      </c>
      <c r="H113">
        <v>0.96441604397649894</v>
      </c>
      <c r="I113">
        <v>0.98963392089943436</v>
      </c>
      <c r="K113">
        <v>-1.4118846152951114E-2</v>
      </c>
      <c r="L113">
        <v>-2.8342301077568521E-3</v>
      </c>
      <c r="M113">
        <v>-2.1362126023287686E-3</v>
      </c>
    </row>
    <row r="114" spans="7:13" x14ac:dyDescent="0.3">
      <c r="G114">
        <v>0.92757477585258574</v>
      </c>
      <c r="H114">
        <v>0.95766423855613425</v>
      </c>
      <c r="I114">
        <v>0.98457892238810418</v>
      </c>
      <c r="K114">
        <v>-7.5441061501995144E-3</v>
      </c>
      <c r="L114">
        <v>-7.0255475311626903E-3</v>
      </c>
      <c r="M114">
        <v>-5.1210380641619757E-3</v>
      </c>
    </row>
    <row r="115" spans="7:13" x14ac:dyDescent="0.3">
      <c r="G115">
        <v>0.92947318070440277</v>
      </c>
      <c r="H115">
        <v>0.94507302256497883</v>
      </c>
      <c r="I115">
        <v>0.97371404887876678</v>
      </c>
      <c r="K115">
        <v>2.0445411831344629E-3</v>
      </c>
      <c r="L115">
        <v>-1.3235037799716576E-2</v>
      </c>
      <c r="M115">
        <v>-1.1096383586047587E-2</v>
      </c>
    </row>
    <row r="116" spans="7:13" x14ac:dyDescent="0.3">
      <c r="G116">
        <v>0.9362126120737071</v>
      </c>
      <c r="H116">
        <v>0.95127740499785218</v>
      </c>
      <c r="I116">
        <v>0.96590909908988021</v>
      </c>
      <c r="K116">
        <v>7.2246470540533458E-3</v>
      </c>
      <c r="L116">
        <v>6.5435211559825568E-3</v>
      </c>
      <c r="M116">
        <v>-8.0479467610730104E-3</v>
      </c>
    </row>
    <row r="117" spans="7:13" x14ac:dyDescent="0.3">
      <c r="G117">
        <v>0.94000949419684421</v>
      </c>
      <c r="H117">
        <v>0.95072991239909588</v>
      </c>
      <c r="I117">
        <v>0.96604392784656057</v>
      </c>
      <c r="K117">
        <v>4.0473750880392068E-3</v>
      </c>
      <c r="L117">
        <v>-5.7569979765048629E-4</v>
      </c>
      <c r="M117">
        <v>1.3957767608152594E-4</v>
      </c>
    </row>
    <row r="118" spans="7:13" x14ac:dyDescent="0.3">
      <c r="G118">
        <v>0.93915523373937737</v>
      </c>
      <c r="H118">
        <v>0.94963506642411322</v>
      </c>
      <c r="I118">
        <v>0.98172119038056982</v>
      </c>
      <c r="K118">
        <v>-9.0919173142589571E-4</v>
      </c>
      <c r="L118">
        <v>-1.1522482347512408E-3</v>
      </c>
      <c r="M118">
        <v>1.6098040718929507E-2</v>
      </c>
    </row>
    <row r="119" spans="7:13" x14ac:dyDescent="0.3">
      <c r="G119">
        <v>0.94589466510868181</v>
      </c>
      <c r="H119">
        <v>0.94197079654290972</v>
      </c>
      <c r="I119">
        <v>0.98212557380640297</v>
      </c>
      <c r="K119">
        <v>7.1504314960000315E-3</v>
      </c>
      <c r="L119">
        <v>-8.103497638486612E-3</v>
      </c>
      <c r="M119">
        <v>4.1182788690363736E-4</v>
      </c>
    </row>
    <row r="120" spans="7:13" x14ac:dyDescent="0.3">
      <c r="G120">
        <v>0.93811108934502718</v>
      </c>
      <c r="H120">
        <v>0.9394160631195968</v>
      </c>
      <c r="I120">
        <v>0.9697644199149581</v>
      </c>
      <c r="K120">
        <v>-8.2628410557772369E-3</v>
      </c>
      <c r="L120">
        <v>-2.715799762722515E-3</v>
      </c>
      <c r="M120">
        <v>-1.2665999812048856E-2</v>
      </c>
    </row>
    <row r="121" spans="7:13" x14ac:dyDescent="0.3">
      <c r="G121">
        <v>0.92396770524682925</v>
      </c>
      <c r="H121">
        <v>0.91496350525018599</v>
      </c>
      <c r="I121">
        <v>0.96834897508033413</v>
      </c>
      <c r="K121">
        <v>-1.5191254131936116E-2</v>
      </c>
      <c r="L121">
        <v>-2.6374293278657479E-2</v>
      </c>
      <c r="M121">
        <v>-1.4606421790697155E-3</v>
      </c>
    </row>
    <row r="122" spans="7:13" x14ac:dyDescent="0.3">
      <c r="G122">
        <v>0.92510679160962117</v>
      </c>
      <c r="H122">
        <v>0.90930661541606894</v>
      </c>
      <c r="I122">
        <v>0.96822772175910909</v>
      </c>
      <c r="K122">
        <v>1.23206123800923E-3</v>
      </c>
      <c r="L122">
        <v>-6.201831517857137E-3</v>
      </c>
      <c r="M122">
        <v>-1.2522439372686378E-4</v>
      </c>
    </row>
    <row r="123" spans="7:13" x14ac:dyDescent="0.3">
      <c r="G123">
        <v>0.92206930039501223</v>
      </c>
      <c r="H123">
        <v>0.90675181238149116</v>
      </c>
      <c r="I123">
        <v>0.96910385156701151</v>
      </c>
      <c r="K123">
        <v>-3.288797387098974E-3</v>
      </c>
      <c r="L123">
        <v>-2.8135710622847476E-3</v>
      </c>
      <c r="M123">
        <v>9.0447074697275198E-4</v>
      </c>
    </row>
    <row r="124" spans="7:13" x14ac:dyDescent="0.3">
      <c r="G124">
        <v>0.92596112448659096</v>
      </c>
      <c r="H124">
        <v>0.91952554910932038</v>
      </c>
      <c r="I124">
        <v>0.95756503996268816</v>
      </c>
      <c r="K124">
        <v>4.2118677187734654E-3</v>
      </c>
      <c r="L124">
        <v>1.3989052602894958E-2</v>
      </c>
      <c r="M124">
        <v>-1.1978134505952642E-2</v>
      </c>
    </row>
    <row r="125" spans="7:13" x14ac:dyDescent="0.3">
      <c r="G125">
        <v>0.90488849750170819</v>
      </c>
      <c r="H125">
        <v>0.91478105412477717</v>
      </c>
      <c r="I125">
        <v>0.93243824590975732</v>
      </c>
      <c r="K125">
        <v>-2.3020522640130991E-2</v>
      </c>
      <c r="L125">
        <v>-5.1730779976346675E-3</v>
      </c>
      <c r="M125">
        <v>-2.6590720502270848E-2</v>
      </c>
    </row>
    <row r="126" spans="7:13" x14ac:dyDescent="0.3">
      <c r="G126">
        <v>0.90270526674456586</v>
      </c>
      <c r="H126">
        <v>0.91368613853852965</v>
      </c>
      <c r="I126">
        <v>0.93512083423107761</v>
      </c>
      <c r="K126">
        <v>-2.4156222066746835E-3</v>
      </c>
      <c r="L126">
        <v>-1.1976323354478957E-3</v>
      </c>
      <c r="M126">
        <v>2.8728303107845576E-3</v>
      </c>
    </row>
    <row r="127" spans="7:13" x14ac:dyDescent="0.3">
      <c r="G127">
        <v>0.91039397295928182</v>
      </c>
      <c r="H127">
        <v>0.93412407553629739</v>
      </c>
      <c r="I127">
        <v>0.93812686758653951</v>
      </c>
      <c r="K127">
        <v>8.4813364162772409E-3</v>
      </c>
      <c r="L127">
        <v>2.2122153395291111E-2</v>
      </c>
      <c r="M127">
        <v>3.2094377405038621E-3</v>
      </c>
    </row>
    <row r="128" spans="7:13" x14ac:dyDescent="0.3">
      <c r="G128">
        <v>0.90697678629040868</v>
      </c>
      <c r="H128">
        <v>0.93047449613800182</v>
      </c>
      <c r="I128">
        <v>0.94017583274240768</v>
      </c>
      <c r="K128">
        <v>-3.7605872974895149E-3</v>
      </c>
      <c r="L128">
        <v>-3.9146056575298793E-3</v>
      </c>
      <c r="M128">
        <v>2.1817207293044483E-3</v>
      </c>
    </row>
    <row r="129" spans="7:13" x14ac:dyDescent="0.3">
      <c r="G129">
        <v>0.912197435842657</v>
      </c>
      <c r="H129">
        <v>0.94726278412620912</v>
      </c>
      <c r="I129">
        <v>0.94612043365288745</v>
      </c>
      <c r="K129">
        <v>5.7395974730756194E-3</v>
      </c>
      <c r="L129">
        <v>1.7881878915035898E-2</v>
      </c>
      <c r="M129">
        <v>6.3029553698323859E-3</v>
      </c>
    </row>
    <row r="130" spans="7:13" x14ac:dyDescent="0.3">
      <c r="G130">
        <v>0.88656860824561223</v>
      </c>
      <c r="H130">
        <v>0.90930661541606894</v>
      </c>
      <c r="I130">
        <v>0.91019633473527128</v>
      </c>
      <c r="K130">
        <v>-2.8497938526384381E-2</v>
      </c>
      <c r="L130">
        <v>-4.0894197860324777E-2</v>
      </c>
      <c r="M130">
        <v>-3.8709540553989896E-2</v>
      </c>
    </row>
    <row r="131" spans="7:13" x14ac:dyDescent="0.3">
      <c r="G131">
        <v>0.87365925247864806</v>
      </c>
      <c r="H131">
        <v>0.8837591419604105</v>
      </c>
      <c r="I131">
        <v>0.90081416617258592</v>
      </c>
      <c r="K131">
        <v>-1.4668086457605423E-2</v>
      </c>
      <c r="L131">
        <v>-2.849778632282618E-2</v>
      </c>
      <c r="M131">
        <v>-1.0361345221347129E-2</v>
      </c>
    </row>
    <row r="132" spans="7:13" x14ac:dyDescent="0.3">
      <c r="G132">
        <v>0.88837207112898742</v>
      </c>
      <c r="H132">
        <v>0.90218976852235677</v>
      </c>
      <c r="I132">
        <v>0.91669362041951186</v>
      </c>
      <c r="K132">
        <v>1.6700225925659229E-2</v>
      </c>
      <c r="L132">
        <v>2.0640322655996357E-2</v>
      </c>
      <c r="M132">
        <v>1.7474322179551471E-2</v>
      </c>
    </row>
    <row r="133" spans="7:13" x14ac:dyDescent="0.3">
      <c r="G133">
        <v>0.89606077734370337</v>
      </c>
      <c r="H133">
        <v>0.92226280326930699</v>
      </c>
      <c r="I133">
        <v>0.92218005038337747</v>
      </c>
      <c r="K133">
        <v>8.6175882755425981E-3</v>
      </c>
      <c r="L133">
        <v>2.2005334702440926E-2</v>
      </c>
      <c r="M133">
        <v>5.9671812487098741E-3</v>
      </c>
    </row>
    <row r="134" spans="7:13" x14ac:dyDescent="0.3">
      <c r="G134">
        <v>0.90745135129361143</v>
      </c>
      <c r="H134">
        <v>0.93375910367421477</v>
      </c>
      <c r="I134">
        <v>0.93295051290977626</v>
      </c>
      <c r="K134">
        <v>1.2631714780852565E-2</v>
      </c>
      <c r="L134">
        <v>1.2388266958291982E-2</v>
      </c>
      <c r="M134">
        <v>1.1611671712157268E-2</v>
      </c>
    </row>
    <row r="135" spans="7:13" x14ac:dyDescent="0.3">
      <c r="G135">
        <v>0.91020408902239824</v>
      </c>
      <c r="H135">
        <v>0.93357665254880606</v>
      </c>
      <c r="I135">
        <v>0.94253477034117028</v>
      </c>
      <c r="K135">
        <v>3.0288907041886581E-3</v>
      </c>
      <c r="L135">
        <v>-1.9541330516625877E-4</v>
      </c>
      <c r="M135">
        <v>1.0220651635260758E-2</v>
      </c>
    </row>
    <row r="136" spans="7:13" x14ac:dyDescent="0.3">
      <c r="G136">
        <v>0.90166112235021567</v>
      </c>
      <c r="H136">
        <v>0.93375910367421477</v>
      </c>
      <c r="I136">
        <v>0.93679236114360698</v>
      </c>
      <c r="K136">
        <v>-9.4300943873806276E-3</v>
      </c>
      <c r="L136">
        <v>1.9541330516625877E-4</v>
      </c>
      <c r="M136">
        <v>-6.1111522020507181E-3</v>
      </c>
    </row>
    <row r="137" spans="7:13" x14ac:dyDescent="0.3">
      <c r="G137">
        <v>0.90678690235352521</v>
      </c>
      <c r="H137">
        <v>0.93759127342044901</v>
      </c>
      <c r="I137">
        <v>0.94059368875948801</v>
      </c>
      <c r="K137">
        <v>5.6687210906125607E-3</v>
      </c>
      <c r="L137">
        <v>4.0956254370323464E-3</v>
      </c>
      <c r="M137">
        <v>4.0496016373334776E-3</v>
      </c>
    </row>
    <row r="138" spans="7:13" x14ac:dyDescent="0.3">
      <c r="G138">
        <v>0.91067872644510406</v>
      </c>
      <c r="H138">
        <v>0.93759127342044901</v>
      </c>
      <c r="I138">
        <v>0.93734504591736778</v>
      </c>
      <c r="K138">
        <v>4.2827000174376906E-3</v>
      </c>
      <c r="L138">
        <v>0</v>
      </c>
      <c r="M138">
        <v>-3.4597998568446364E-3</v>
      </c>
    </row>
    <row r="139" spans="7:13" x14ac:dyDescent="0.3">
      <c r="G139">
        <v>0.91770291130023063</v>
      </c>
      <c r="H139">
        <v>0.95437956140865632</v>
      </c>
      <c r="I139">
        <v>0.95118900759967273</v>
      </c>
      <c r="K139">
        <v>7.6835374707004966E-3</v>
      </c>
      <c r="L139">
        <v>1.7747344012846167E-2</v>
      </c>
      <c r="M139">
        <v>1.4661329130785106E-2</v>
      </c>
    </row>
    <row r="140" spans="7:13" x14ac:dyDescent="0.3">
      <c r="G140">
        <v>0.92055059099745917</v>
      </c>
      <c r="H140">
        <v>0.95967154899195584</v>
      </c>
      <c r="I140">
        <v>0.96394107232570347</v>
      </c>
      <c r="K140">
        <v>3.0982473000680244E-3</v>
      </c>
      <c r="L140">
        <v>5.5296340195902793E-3</v>
      </c>
      <c r="M140">
        <v>1.3317375489717342E-2</v>
      </c>
    </row>
    <row r="141" spans="7:13" x14ac:dyDescent="0.3">
      <c r="G141">
        <v>0.9247270961553572</v>
      </c>
      <c r="H141">
        <v>0.9709853982714548</v>
      </c>
      <c r="I141">
        <v>0.9714224742362404</v>
      </c>
      <c r="K141">
        <v>4.5267032910207838E-3</v>
      </c>
      <c r="L141">
        <v>1.1720340899636472E-2</v>
      </c>
      <c r="M141">
        <v>7.7313011183735014E-3</v>
      </c>
    </row>
    <row r="142" spans="7:13" x14ac:dyDescent="0.3">
      <c r="G142">
        <v>0.91950644660310887</v>
      </c>
      <c r="H142">
        <v>0.97645983698016303</v>
      </c>
      <c r="I142">
        <v>0.96648872904613536</v>
      </c>
      <c r="K142">
        <v>-5.6616077913553831E-3</v>
      </c>
      <c r="L142">
        <v>5.622189553513568E-3</v>
      </c>
      <c r="M142">
        <v>-5.0918286053516226E-3</v>
      </c>
    </row>
    <row r="143" spans="7:13" x14ac:dyDescent="0.3">
      <c r="G143">
        <v>0.9377313938907631</v>
      </c>
      <c r="H143">
        <v>0.98065697858847989</v>
      </c>
      <c r="I143">
        <v>0.97184033025332073</v>
      </c>
      <c r="K143">
        <v>1.9626492532220485E-2</v>
      </c>
      <c r="L143">
        <v>4.2891134645799411E-3</v>
      </c>
      <c r="M143">
        <v>5.5218847177367358E-3</v>
      </c>
    </row>
    <row r="144" spans="7:13" x14ac:dyDescent="0.3">
      <c r="G144">
        <v>0.93763645192232137</v>
      </c>
      <c r="H144">
        <v>0.97992703486431476</v>
      </c>
      <c r="I144">
        <v>0.97035752246246054</v>
      </c>
      <c r="K144">
        <v>-1.0125156910900657E-4</v>
      </c>
      <c r="L144">
        <v>-7.4461869818742699E-4</v>
      </c>
      <c r="M144">
        <v>-1.5269382332898651E-3</v>
      </c>
    </row>
    <row r="145" spans="7:13" x14ac:dyDescent="0.3">
      <c r="G145">
        <v>0.94760325844311832</v>
      </c>
      <c r="H145">
        <v>0.98467152984885797</v>
      </c>
      <c r="I145">
        <v>0.98913512649066249</v>
      </c>
      <c r="K145">
        <v>1.0573614935379005E-2</v>
      </c>
      <c r="L145">
        <v>4.8299986505195847E-3</v>
      </c>
      <c r="M145">
        <v>1.9166368257217403E-2</v>
      </c>
    </row>
    <row r="146" spans="7:13" x14ac:dyDescent="0.3">
      <c r="G146">
        <v>0.9479829538973823</v>
      </c>
      <c r="H146">
        <v>0.96879563671022451</v>
      </c>
      <c r="I146">
        <v>0.99342177592406811</v>
      </c>
      <c r="K146">
        <v>4.0061006655367493E-4</v>
      </c>
      <c r="L146">
        <v>-1.6254424903060727E-2</v>
      </c>
      <c r="M146">
        <v>4.3243713290430641E-3</v>
      </c>
    </row>
    <row r="147" spans="7:13" x14ac:dyDescent="0.3">
      <c r="G147">
        <v>0.94883721435484902</v>
      </c>
      <c r="H147">
        <v>1.0202554858723589</v>
      </c>
      <c r="I147">
        <v>0.99912387019209759</v>
      </c>
      <c r="K147">
        <v>9.0072905119953361E-4</v>
      </c>
      <c r="L147">
        <v>5.1754662839667454E-2</v>
      </c>
      <c r="M147">
        <v>5.7234421151677317E-3</v>
      </c>
    </row>
    <row r="148" spans="7:13" x14ac:dyDescent="0.3">
      <c r="G148">
        <v>0.94380637631998121</v>
      </c>
      <c r="H148">
        <v>1.0182481754365376</v>
      </c>
      <c r="I148">
        <v>0.99567293279285274</v>
      </c>
      <c r="K148">
        <v>-5.3162147465801723E-3</v>
      </c>
      <c r="L148">
        <v>-1.969396594868833E-3</v>
      </c>
      <c r="M148">
        <v>-3.4599422224212972E-3</v>
      </c>
    </row>
    <row r="149" spans="7:13" x14ac:dyDescent="0.3">
      <c r="G149">
        <v>0.9364974379790324</v>
      </c>
      <c r="H149">
        <v>1.032299278876023</v>
      </c>
      <c r="I149">
        <v>1.0012132531217073</v>
      </c>
      <c r="K149">
        <v>-7.7742491371615152E-3</v>
      </c>
      <c r="L149">
        <v>1.370494824589219E-2</v>
      </c>
      <c r="M149">
        <v>5.5489737812584039E-3</v>
      </c>
    </row>
    <row r="150" spans="7:13" x14ac:dyDescent="0.3">
      <c r="G150">
        <v>0.92396770524682925</v>
      </c>
      <c r="H150">
        <v>1.0352189841614186</v>
      </c>
      <c r="I150">
        <v>0.99720963094870185</v>
      </c>
      <c r="K150">
        <v>-1.3469666140600189E-2</v>
      </c>
      <c r="L150">
        <v>2.8243593089047891E-3</v>
      </c>
      <c r="M150">
        <v>-4.0067871131892474E-3</v>
      </c>
    </row>
    <row r="151" spans="7:13" x14ac:dyDescent="0.3">
      <c r="G151">
        <v>0.9176079693317889</v>
      </c>
      <c r="H151">
        <v>1.0357664071489099</v>
      </c>
      <c r="I151">
        <v>0.99538990553245277</v>
      </c>
      <c r="K151">
        <v>-6.906869248251013E-3</v>
      </c>
      <c r="L151">
        <v>5.2865945123325986E-4</v>
      </c>
      <c r="M151">
        <v>-1.8264843374931061E-3</v>
      </c>
    </row>
    <row r="152" spans="7:13" x14ac:dyDescent="0.3">
      <c r="G152">
        <v>0.97721877968068072</v>
      </c>
      <c r="H152">
        <v>1.0253649527189848</v>
      </c>
      <c r="I152">
        <v>0.99990569186126932</v>
      </c>
      <c r="K152">
        <v>6.294030629546965E-2</v>
      </c>
      <c r="L152">
        <v>-1.0093042036570132E-2</v>
      </c>
      <c r="M152">
        <v>4.5264411397658577E-3</v>
      </c>
    </row>
    <row r="153" spans="7:13" x14ac:dyDescent="0.3">
      <c r="G153">
        <v>0.99041288893346713</v>
      </c>
      <c r="H153">
        <v>1.0257299245810672</v>
      </c>
      <c r="I153">
        <v>1.0054864299638657</v>
      </c>
      <c r="K153">
        <v>1.3411358665707418E-2</v>
      </c>
      <c r="L153">
        <v>3.5588004238462645E-4</v>
      </c>
      <c r="M153">
        <v>5.5657469163397089E-3</v>
      </c>
    </row>
    <row r="154" spans="7:13" x14ac:dyDescent="0.3">
      <c r="G154">
        <v>0.98917893302173632</v>
      </c>
      <c r="H154">
        <v>1.0343065893118446</v>
      </c>
      <c r="I154">
        <v>1.0363285851876574</v>
      </c>
      <c r="K154">
        <v>-1.2466772774706314E-3</v>
      </c>
      <c r="L154">
        <v>8.3267594803082545E-3</v>
      </c>
      <c r="M154">
        <v>3.0212826389653724E-2</v>
      </c>
    </row>
    <row r="155" spans="7:13" x14ac:dyDescent="0.3">
      <c r="G155">
        <v>1.0066445618203657</v>
      </c>
      <c r="H155">
        <v>1.0324817996126969</v>
      </c>
      <c r="I155">
        <v>1.0418419603340174</v>
      </c>
      <c r="K155">
        <v>1.7502624568356939E-2</v>
      </c>
      <c r="L155">
        <v>-1.7658219710225964E-3</v>
      </c>
      <c r="M155">
        <v>5.3060015631274382E-3</v>
      </c>
    </row>
    <row r="156" spans="7:13" x14ac:dyDescent="0.3">
      <c r="G156">
        <v>0.99174185923314262</v>
      </c>
      <c r="H156">
        <v>1.0324817996126969</v>
      </c>
      <c r="I156">
        <v>1.0394020843435634</v>
      </c>
      <c r="K156">
        <v>-1.491501212924895E-2</v>
      </c>
      <c r="L156">
        <v>0</v>
      </c>
      <c r="M156">
        <v>-2.3446333594776547E-3</v>
      </c>
    </row>
    <row r="157" spans="7:13" x14ac:dyDescent="0.3">
      <c r="G157">
        <v>1.004176577577401</v>
      </c>
      <c r="H157">
        <v>1.0395985768951441</v>
      </c>
      <c r="I157">
        <v>1.0422463437598506</v>
      </c>
      <c r="K157">
        <v>1.2460307994842434E-2</v>
      </c>
      <c r="L157">
        <v>6.8692366837801444E-3</v>
      </c>
      <c r="M157">
        <v>2.7327008229467431E-3</v>
      </c>
    </row>
    <row r="158" spans="7:13" x14ac:dyDescent="0.3">
      <c r="G158">
        <v>1.0049359684859291</v>
      </c>
      <c r="H158">
        <v>1.0472627771650826</v>
      </c>
      <c r="I158">
        <v>1.0401300156477462</v>
      </c>
      <c r="K158">
        <v>7.5594664537748102E-4</v>
      </c>
      <c r="L158">
        <v>7.345226565690588E-3</v>
      </c>
      <c r="M158">
        <v>-2.0326093611053864E-3</v>
      </c>
    </row>
    <row r="159" spans="7:13" x14ac:dyDescent="0.3">
      <c r="G159">
        <v>1.020218366527416</v>
      </c>
      <c r="H159">
        <v>1.0576642315950078</v>
      </c>
      <c r="I159">
        <v>1.0544322511208732</v>
      </c>
      <c r="K159">
        <v>1.5092862682133834E-2</v>
      </c>
      <c r="L159">
        <v>9.8830401715179761E-3</v>
      </c>
      <c r="M159">
        <v>1.3656751091235986E-2</v>
      </c>
    </row>
    <row r="160" spans="7:13" x14ac:dyDescent="0.3">
      <c r="G160">
        <v>1.0286663912311569</v>
      </c>
      <c r="H160">
        <v>1.0594890909054204</v>
      </c>
      <c r="I160">
        <v>1.0538122033908763</v>
      </c>
      <c r="K160">
        <v>8.2465082990004213E-3</v>
      </c>
      <c r="L160">
        <v>1.7238805928121437E-3</v>
      </c>
      <c r="M160">
        <v>-5.8821238357609218E-4</v>
      </c>
    </row>
    <row r="161" spans="7:13" x14ac:dyDescent="0.3">
      <c r="G161">
        <v>1.032842896389055</v>
      </c>
      <c r="H161">
        <v>1.0620438243287333</v>
      </c>
      <c r="I161">
        <v>1.0571822023984299</v>
      </c>
      <c r="K161">
        <v>4.0518962461963959E-3</v>
      </c>
      <c r="L161">
        <v>2.4083855968708434E-3</v>
      </c>
      <c r="M161">
        <v>3.192809854099643E-3</v>
      </c>
    </row>
    <row r="162" spans="7:13" x14ac:dyDescent="0.3">
      <c r="G162">
        <v>1.0251542625938421</v>
      </c>
      <c r="H162">
        <v>1.0587591471812554</v>
      </c>
      <c r="I162">
        <v>1.0577483597634378</v>
      </c>
      <c r="K162">
        <v>-7.4719924013670891E-3</v>
      </c>
      <c r="L162">
        <v>-3.0975812633027289E-3</v>
      </c>
      <c r="M162">
        <v>5.3539098508581517E-4</v>
      </c>
    </row>
    <row r="163" spans="7:13" x14ac:dyDescent="0.3">
      <c r="G163">
        <v>1.0244898136537559</v>
      </c>
      <c r="H163">
        <v>1.063868614027881</v>
      </c>
      <c r="I163">
        <v>1.0579774966588489</v>
      </c>
      <c r="K163">
        <v>-6.4835545943031647E-4</v>
      </c>
      <c r="L163">
        <v>4.814293686992599E-3</v>
      </c>
      <c r="M163">
        <v>2.1660357896680082E-4</v>
      </c>
    </row>
    <row r="164" spans="7:13" x14ac:dyDescent="0.3">
      <c r="G164">
        <v>1.0268628559282786</v>
      </c>
      <c r="H164">
        <v>1.0572992597329252</v>
      </c>
      <c r="I164">
        <v>1.0557802301550532</v>
      </c>
      <c r="K164">
        <v>2.313637599491436E-3</v>
      </c>
      <c r="L164">
        <v>-6.1941116307533406E-3</v>
      </c>
      <c r="M164">
        <v>-2.0790152696879005E-3</v>
      </c>
    </row>
    <row r="165" spans="7:13" x14ac:dyDescent="0.3">
      <c r="G165">
        <v>1.0392027047235983</v>
      </c>
      <c r="H165">
        <v>1.0605839368804031</v>
      </c>
      <c r="I165">
        <v>1.0547288538167285</v>
      </c>
      <c r="K165">
        <v>1.194540557072532E-2</v>
      </c>
      <c r="L165">
        <v>3.1018516850718214E-3</v>
      </c>
      <c r="M165">
        <v>-9.9632494669776861E-4</v>
      </c>
    </row>
    <row r="166" spans="7:13" x14ac:dyDescent="0.3">
      <c r="G166">
        <v>1.0382534298781867</v>
      </c>
      <c r="H166">
        <v>1.0481751720146566</v>
      </c>
      <c r="I166">
        <v>1.0475843695315805</v>
      </c>
      <c r="K166">
        <v>-9.1388202683928554E-4</v>
      </c>
      <c r="L166">
        <v>-1.1768919492626928E-2</v>
      </c>
      <c r="M166">
        <v>-6.7968100186361902E-3</v>
      </c>
    </row>
    <row r="167" spans="7:13" x14ac:dyDescent="0.3">
      <c r="G167">
        <v>1.0367347204806339</v>
      </c>
      <c r="H167">
        <v>1.0503650031871519</v>
      </c>
      <c r="I167">
        <v>1.0513183341912253</v>
      </c>
      <c r="K167">
        <v>-1.4638249076064369E-3</v>
      </c>
      <c r="L167">
        <v>2.0870050458947631E-3</v>
      </c>
      <c r="M167">
        <v>3.5580197140148151E-3</v>
      </c>
    </row>
    <row r="168" spans="7:13" x14ac:dyDescent="0.3">
      <c r="G168">
        <v>1.0354058226004612</v>
      </c>
      <c r="H168">
        <v>1.0510948773000519</v>
      </c>
      <c r="I168">
        <v>1.0480696913491052</v>
      </c>
      <c r="K168">
        <v>-1.2826331368263055E-3</v>
      </c>
      <c r="L168">
        <v>6.9463533329905403E-4</v>
      </c>
      <c r="M168">
        <v>-3.0948499234848548E-3</v>
      </c>
    </row>
    <row r="169" spans="7:13" x14ac:dyDescent="0.3">
      <c r="G169">
        <v>1.0380636183608063</v>
      </c>
      <c r="H169">
        <v>1.0514598491621345</v>
      </c>
      <c r="I169">
        <v>1.0452658497065597</v>
      </c>
      <c r="K169">
        <v>2.5636232330823461E-3</v>
      </c>
      <c r="L169">
        <v>3.4716990825955918E-4</v>
      </c>
      <c r="M169">
        <v>-2.6788283715442063E-3</v>
      </c>
    </row>
    <row r="170" spans="7:13" x14ac:dyDescent="0.3">
      <c r="G170">
        <v>1.0299952891113293</v>
      </c>
      <c r="H170">
        <v>1.0523722440117083</v>
      </c>
      <c r="I170">
        <v>1.040857844107721</v>
      </c>
      <c r="K170">
        <v>-7.8028436777546339E-3</v>
      </c>
      <c r="L170">
        <v>8.6736475761117759E-4</v>
      </c>
      <c r="M170">
        <v>-4.2260314402708943E-3</v>
      </c>
    </row>
    <row r="171" spans="7:13" x14ac:dyDescent="0.3">
      <c r="G171">
        <v>1.0332225918433189</v>
      </c>
      <c r="H171">
        <v>1.0563868648833514</v>
      </c>
      <c r="I171">
        <v>1.0407635359689904</v>
      </c>
      <c r="K171">
        <v>3.1284193433145369E-3</v>
      </c>
      <c r="L171">
        <v>3.8075716708512175E-3</v>
      </c>
      <c r="M171">
        <v>-9.0610271106683626E-5</v>
      </c>
    </row>
    <row r="172" spans="7:13" x14ac:dyDescent="0.3">
      <c r="G172">
        <v>1.0254390160796643</v>
      </c>
      <c r="H172">
        <v>1.0574817804695991</v>
      </c>
      <c r="I172">
        <v>1.0374743725089204</v>
      </c>
      <c r="K172">
        <v>-7.561818633150974E-3</v>
      </c>
      <c r="L172">
        <v>1.0359354036246771E-3</v>
      </c>
      <c r="M172">
        <v>-3.1653413624446181E-3</v>
      </c>
    </row>
    <row r="173" spans="7:13" x14ac:dyDescent="0.3">
      <c r="G173">
        <v>1.0210726269848829</v>
      </c>
      <c r="H173">
        <v>1.061496331729977</v>
      </c>
      <c r="I173">
        <v>1.0371644000660261</v>
      </c>
      <c r="K173">
        <v>-4.2671594223087084E-3</v>
      </c>
      <c r="L173">
        <v>3.7891434937842305E-3</v>
      </c>
      <c r="M173">
        <v>-2.9882064222341853E-4</v>
      </c>
    </row>
    <row r="174" spans="7:13" x14ac:dyDescent="0.3">
      <c r="G174">
        <v>1.0150925865241065</v>
      </c>
      <c r="H174">
        <v>1.0589415983066641</v>
      </c>
      <c r="I174">
        <v>1.0373396465964482</v>
      </c>
      <c r="K174">
        <v>-5.8738432566487475E-3</v>
      </c>
      <c r="L174">
        <v>-2.4096292782314066E-3</v>
      </c>
      <c r="M174">
        <v>1.6895270088390646E-4</v>
      </c>
    </row>
    <row r="175" spans="7:13" x14ac:dyDescent="0.3">
      <c r="G175">
        <v>1.0139535001613145</v>
      </c>
      <c r="H175">
        <v>1.0602189650183207</v>
      </c>
      <c r="I175">
        <v>1.040857844107721</v>
      </c>
      <c r="K175">
        <v>-1.1227802955597888E-3</v>
      </c>
      <c r="L175">
        <v>1.2055404280975068E-3</v>
      </c>
      <c r="M175">
        <v>3.3858195748908138E-3</v>
      </c>
    </row>
    <row r="176" spans="7:13" x14ac:dyDescent="0.3">
      <c r="G176">
        <v>1.0061699243976598</v>
      </c>
      <c r="H176">
        <v>1.0563868648833514</v>
      </c>
      <c r="I176">
        <v>1.0367329686134903</v>
      </c>
      <c r="K176">
        <v>-7.7060779426409987E-3</v>
      </c>
      <c r="L176">
        <v>-3.6209900472750078E-3</v>
      </c>
      <c r="M176">
        <v>-3.9708309151986754E-3</v>
      </c>
    </row>
    <row r="177" spans="7:13" x14ac:dyDescent="0.3">
      <c r="G177">
        <v>1.0071191268235684</v>
      </c>
      <c r="H177">
        <v>1.048540143876739</v>
      </c>
      <c r="I177">
        <v>1.0339831201801419</v>
      </c>
      <c r="K177">
        <v>9.4293712635362681E-4</v>
      </c>
      <c r="L177">
        <v>-7.4556099297691247E-3</v>
      </c>
      <c r="M177">
        <v>-2.6559411642068653E-3</v>
      </c>
    </row>
    <row r="178" spans="7:13" x14ac:dyDescent="0.3">
      <c r="G178">
        <v>1.0130992397038476</v>
      </c>
      <c r="H178">
        <v>1.0509124261746432</v>
      </c>
      <c r="I178">
        <v>1.0363151125964101</v>
      </c>
      <c r="K178">
        <v>5.9202811400296262E-3</v>
      </c>
      <c r="L178">
        <v>2.2599065502912907E-3</v>
      </c>
      <c r="M178">
        <v>2.2528091514697479E-3</v>
      </c>
    </row>
    <row r="179" spans="7:13" x14ac:dyDescent="0.3">
      <c r="G179">
        <v>1.0225914088019388</v>
      </c>
      <c r="H179">
        <v>1.0523722440117083</v>
      </c>
      <c r="I179">
        <v>1.0399278239348297</v>
      </c>
      <c r="K179">
        <v>9.3258156882702892E-3</v>
      </c>
      <c r="L179">
        <v>1.3881317086266165E-3</v>
      </c>
      <c r="M179">
        <v>3.4800503552907536E-3</v>
      </c>
    </row>
    <row r="180" spans="7:13" x14ac:dyDescent="0.3">
      <c r="G180">
        <v>1.0223065828966136</v>
      </c>
      <c r="H180">
        <v>1.0512773980367256</v>
      </c>
      <c r="I180">
        <v>1.0515475739308444</v>
      </c>
      <c r="K180">
        <v>-2.7857224010530146E-4</v>
      </c>
      <c r="L180">
        <v>-1.0409015379293507E-3</v>
      </c>
      <c r="M180">
        <v>1.1111648326286527E-2</v>
      </c>
    </row>
    <row r="181" spans="7:13" x14ac:dyDescent="0.3">
      <c r="G181">
        <v>1.0285714492627152</v>
      </c>
      <c r="H181">
        <v>1.0521897928862995</v>
      </c>
      <c r="I181">
        <v>1.0519115395829359</v>
      </c>
      <c r="K181">
        <v>6.1094670229069337E-3</v>
      </c>
      <c r="L181">
        <v>8.6751522508343726E-4</v>
      </c>
      <c r="M181">
        <v>3.4606392240821293E-4</v>
      </c>
    </row>
    <row r="182" spans="7:13" x14ac:dyDescent="0.3">
      <c r="G182">
        <v>1.0016136513659948</v>
      </c>
      <c r="H182">
        <v>1.0479927208892477</v>
      </c>
      <c r="I182">
        <v>1.0451310209498794</v>
      </c>
      <c r="K182">
        <v>-2.655854625370857E-2</v>
      </c>
      <c r="L182">
        <v>-3.996869373837697E-3</v>
      </c>
      <c r="M182">
        <v>-6.4667664741131503E-3</v>
      </c>
    </row>
    <row r="183" spans="7:13" x14ac:dyDescent="0.3">
      <c r="G183">
        <v>0.97892737301511723</v>
      </c>
      <c r="H183">
        <v>1.0257299245810672</v>
      </c>
      <c r="I183">
        <v>1.0240214245054093</v>
      </c>
      <c r="K183">
        <v>-2.2910174900068192E-2</v>
      </c>
      <c r="L183">
        <v>-2.147215946371972E-2</v>
      </c>
      <c r="M183">
        <v>-2.0404807689893278E-2</v>
      </c>
    </row>
    <row r="184" spans="7:13" x14ac:dyDescent="0.3">
      <c r="G184">
        <v>1.0008543328769697</v>
      </c>
      <c r="H184">
        <v>1.0410583947322094</v>
      </c>
      <c r="I184">
        <v>1.0366386604747597</v>
      </c>
      <c r="K184">
        <v>2.2151792212911303E-2</v>
      </c>
      <c r="L184">
        <v>1.4833402208553004E-2</v>
      </c>
      <c r="M184">
        <v>1.2245972771891989E-2</v>
      </c>
    </row>
    <row r="185" spans="7:13" x14ac:dyDescent="0.3">
      <c r="G185">
        <v>1.0246796251711363</v>
      </c>
      <c r="H185">
        <v>1.031569335151858</v>
      </c>
      <c r="I185">
        <v>1.024061842279151</v>
      </c>
      <c r="K185">
        <v>2.3526034782054062E-2</v>
      </c>
      <c r="L185">
        <v>-9.1566138416130372E-3</v>
      </c>
      <c r="M185">
        <v>-1.2206503894427456E-2</v>
      </c>
    </row>
    <row r="186" spans="7:13" x14ac:dyDescent="0.3">
      <c r="G186">
        <v>1.0609397082290644</v>
      </c>
      <c r="H186">
        <v>1.0266423194306411</v>
      </c>
      <c r="I186">
        <v>1.0278362247125377</v>
      </c>
      <c r="K186">
        <v>3.4775029672510005E-2</v>
      </c>
      <c r="L186">
        <v>-4.7876758656952845E-3</v>
      </c>
      <c r="M186">
        <v>3.6789222146311751E-3</v>
      </c>
    </row>
    <row r="187" spans="7:13" x14ac:dyDescent="0.3">
      <c r="G187">
        <v>1.0970099797696118</v>
      </c>
      <c r="H187">
        <v>1.0436131281555221</v>
      </c>
      <c r="I187">
        <v>1.0403322073606629</v>
      </c>
      <c r="K187">
        <v>3.3433245983514936E-2</v>
      </c>
      <c r="L187">
        <v>1.6395260686837609E-2</v>
      </c>
      <c r="M187">
        <v>1.2084252441709076E-2</v>
      </c>
    </row>
    <row r="188" spans="7:13" x14ac:dyDescent="0.3">
      <c r="G188">
        <v>1.0908400553719519</v>
      </c>
      <c r="H188">
        <v>1.0447080437417697</v>
      </c>
      <c r="I188">
        <v>1.0364499413530903</v>
      </c>
      <c r="K188">
        <v>-5.6401861689461263E-3</v>
      </c>
      <c r="L188">
        <v>1.0486085199072903E-3</v>
      </c>
      <c r="M188">
        <v>-3.7387364218410823E-3</v>
      </c>
    </row>
    <row r="189" spans="7:13" x14ac:dyDescent="0.3">
      <c r="G189">
        <v>1.0781205835418712</v>
      </c>
      <c r="H189">
        <v>1.0388686331709789</v>
      </c>
      <c r="I189">
        <v>1.0321632919196848</v>
      </c>
      <c r="K189">
        <v>-1.1728767607225965E-2</v>
      </c>
      <c r="L189">
        <v>-5.6051941108146153E-3</v>
      </c>
      <c r="M189">
        <v>-4.1444727320820718E-3</v>
      </c>
    </row>
    <row r="190" spans="7:13" x14ac:dyDescent="0.3">
      <c r="G190">
        <v>1.0780256415734295</v>
      </c>
      <c r="H190">
        <v>1.0366788716097486</v>
      </c>
      <c r="I190">
        <v>1.0398603581343855</v>
      </c>
      <c r="K190">
        <v>-8.8066354125171387E-5</v>
      </c>
      <c r="L190">
        <v>-2.1100575810963917E-3</v>
      </c>
      <c r="M190">
        <v>7.4295499665990583E-3</v>
      </c>
    </row>
    <row r="191" spans="7:13" x14ac:dyDescent="0.3">
      <c r="G191">
        <v>1.0778358300560491</v>
      </c>
      <c r="H191">
        <v>1.0540145825854472</v>
      </c>
      <c r="I191">
        <v>1.0463442740715867</v>
      </c>
      <c r="K191">
        <v>-1.7608878897723557E-4</v>
      </c>
      <c r="L191">
        <v>1.6584074782803881E-2</v>
      </c>
      <c r="M191">
        <v>6.2160122882075619E-3</v>
      </c>
    </row>
    <row r="192" spans="7:13" x14ac:dyDescent="0.3">
      <c r="G192">
        <v>1.0879924480942265</v>
      </c>
      <c r="H192">
        <v>1.0551094981716949</v>
      </c>
      <c r="I192">
        <v>1.0611587765447328</v>
      </c>
      <c r="K192">
        <v>9.3790376586322388E-3</v>
      </c>
      <c r="L192">
        <v>1.0382657849268284E-3</v>
      </c>
      <c r="M192">
        <v>1.4059051049771121E-2</v>
      </c>
    </row>
    <row r="193" spans="4:13" x14ac:dyDescent="0.3">
      <c r="G193">
        <v>1.069862370355511</v>
      </c>
      <c r="H193">
        <v>1.0479927208892477</v>
      </c>
      <c r="I193">
        <v>1.0607409205276526</v>
      </c>
      <c r="K193">
        <v>-1.6804192954964492E-2</v>
      </c>
      <c r="L193">
        <v>-6.7679111200895647E-3</v>
      </c>
      <c r="M193">
        <v>-3.9385087151666553E-4</v>
      </c>
    </row>
    <row r="194" spans="4:13" x14ac:dyDescent="0.3">
      <c r="G194">
        <v>1.0714760217215058</v>
      </c>
      <c r="H194">
        <v>1.0383212101834876</v>
      </c>
      <c r="I194">
        <v>1.0436347405677719</v>
      </c>
      <c r="K194">
        <v>1.5071430815543074E-3</v>
      </c>
      <c r="L194">
        <v>-9.2714522409416134E-3</v>
      </c>
      <c r="M194">
        <v>-1.6258082693208831E-2</v>
      </c>
    </row>
    <row r="195" spans="4:13" x14ac:dyDescent="0.3">
      <c r="G195">
        <v>1.0734693685417644</v>
      </c>
      <c r="H195">
        <v>1.0574817804695991</v>
      </c>
      <c r="I195">
        <v>1.055497202894653</v>
      </c>
      <c r="K195">
        <v>1.8586462882952404E-3</v>
      </c>
      <c r="L195">
        <v>1.8285215002101118E-2</v>
      </c>
      <c r="M195">
        <v>1.1302375387231667E-2</v>
      </c>
    </row>
    <row r="196" spans="4:13" x14ac:dyDescent="0.3">
      <c r="G196">
        <v>1.0816326397596832</v>
      </c>
      <c r="H196">
        <v>1.0589415983066641</v>
      </c>
      <c r="I196">
        <v>1.0535425458775156</v>
      </c>
      <c r="K196">
        <v>7.5757994091625314E-3</v>
      </c>
      <c r="L196">
        <v>1.3795142155528239E-3</v>
      </c>
      <c r="M196">
        <v>-1.853599561536079E-3</v>
      </c>
    </row>
    <row r="197" spans="4:13" x14ac:dyDescent="0.3">
      <c r="G197">
        <v>1.0648315323206432</v>
      </c>
      <c r="H197">
        <v>1.0474452979017563</v>
      </c>
      <c r="I197">
        <v>1.044713164932799</v>
      </c>
      <c r="K197">
        <v>-1.5655002109538518E-2</v>
      </c>
      <c r="L197">
        <v>-1.091576725801513E-2</v>
      </c>
      <c r="M197">
        <v>-8.4159742910014934E-3</v>
      </c>
    </row>
    <row r="198" spans="4:13" x14ac:dyDescent="0.3">
      <c r="G198">
        <v>1.0730897455070034</v>
      </c>
      <c r="H198">
        <v>1.0510948773000519</v>
      </c>
      <c r="I198">
        <v>1.0477865612444972</v>
      </c>
      <c r="K198">
        <v>7.7254989181376743E-3</v>
      </c>
      <c r="L198">
        <v>3.4782113021156746E-3</v>
      </c>
      <c r="M198">
        <v>2.937537800660639E-3</v>
      </c>
    </row>
    <row r="200" spans="4:13" x14ac:dyDescent="0.3">
      <c r="D200" t="s">
        <v>21</v>
      </c>
      <c r="G200" t="str" cm="1">
        <f t="array" ref="G200">_xll.RScript.Evaluate(D200)</f>
        <v xml:space="preserve">Exception: Error in as.zoo(stock_change) : could not find function "as.zoo"
</v>
      </c>
    </row>
    <row r="201" spans="4:13" x14ac:dyDescent="0.3">
      <c r="D201" t="s">
        <v>22</v>
      </c>
      <c r="G201" t="str" cm="1">
        <f t="array" ref="G201">_xll.RScript.Evaluate(D201)</f>
        <v>List of 2 objects.</v>
      </c>
    </row>
    <row r="203" spans="4:13" x14ac:dyDescent="0.3">
      <c r="D203" t="s">
        <v>23</v>
      </c>
      <c r="G203" t="str" cm="1">
        <f t="array" ref="G203">_xll.RScript.Evaluate(D203)</f>
        <v>Exception: Unable to display the contents. Unknown expression type.</v>
      </c>
    </row>
    <row r="204" spans="4:13" x14ac:dyDescent="0.3">
      <c r="D204" t="s">
        <v>24</v>
      </c>
      <c r="G204" t="str" cm="1">
        <f t="array" ref="G204">_xll.RScript.Evaluate(D204)</f>
        <v>Exception: Unable to display the contents. Unknown expression type.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References</vt:lpstr>
      <vt:lpstr>Libraries</vt:lpstr>
      <vt:lpstr>Session Info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Gladstone</dc:creator>
  <cp:lastModifiedBy>Adam Gladstone</cp:lastModifiedBy>
  <dcterms:created xsi:type="dcterms:W3CDTF">2023-08-25T14:54:50Z</dcterms:created>
  <dcterms:modified xsi:type="dcterms:W3CDTF">2026-09-25T11:58:04Z</dcterms:modified>
</cp:coreProperties>
</file>