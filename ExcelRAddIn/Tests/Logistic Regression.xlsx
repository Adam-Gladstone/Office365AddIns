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B8712CE2-EAFE-469F-AF64-330092D8A8BB}" xr6:coauthVersionLast="47" xr6:coauthVersionMax="47" xr10:uidLastSave="{00000000-0000-0000-0000-000000000000}"/>
  <bookViews>
    <workbookView xWindow="-108" yWindow="-108" windowWidth="23256" windowHeight="12456" activeTab="2" xr2:uid="{41A9D9A1-511C-404C-ADF4-02DA0BD5CB59}"/>
  </bookViews>
  <sheets>
    <sheet name="References" sheetId="1" r:id="rId1"/>
    <sheet name="Libraries" sheetId="2" r:id="rId2"/>
    <sheet name="Ex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3" l="1" a="1"/>
  <c r="D53" i="3" a="1"/>
  <c r="D45" i="3" a="1"/>
  <c r="D38" i="3" a="1"/>
  <c r="D37" i="3" a="1"/>
  <c r="D34" i="3" a="1"/>
  <c r="D23" i="3" a="1"/>
  <c r="D19" i="3" a="1"/>
  <c r="D16" i="3" a="1"/>
  <c r="D14" i="3" a="1"/>
  <c r="D5" i="3" a="1"/>
  <c r="D3" i="3" a="1"/>
  <c r="D2" i="3" a="1"/>
  <c r="D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<sst xmlns="http://schemas.openxmlformats.org/spreadsheetml/2006/main" count="23" uniqueCount="23">
  <si>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Title</t>
  </si>
  <si>
    <t>Link</t>
  </si>
  <si>
    <t>Plotting a Logistic Regression In Base R</t>
  </si>
  <si>
    <t>Plotting a Logistic Regression In Base R | R-bloggers</t>
  </si>
  <si>
    <t>library(tidyverse)</t>
  </si>
  <si>
    <t>set.seed(123)</t>
  </si>
  <si>
    <t>df &lt;- tibble(
    x = runif(100, 0, 10),
    y = rbinom(100, 1, 1 / (1 + exp(-1 * (0.5 * x - 2.5))))
)</t>
  </si>
  <si>
    <t>head(df)</t>
  </si>
  <si>
    <t># Fit a logistic regression model</t>
  </si>
  <si>
    <t>model &lt;- glm(y ~ x, data = df, family = binomial)</t>
  </si>
  <si>
    <t>broom::glance(model)</t>
  </si>
  <si>
    <t>broom::tidy(model)</t>
  </si>
  <si>
    <t>head(broom::augment(model), 1) |&gt; 
  dplyr::glimpse()</t>
  </si>
  <si>
    <t># Create a sequence of predictor values</t>
  </si>
  <si>
    <t>x_seq &lt;- seq(0, 10, 0.01)</t>
  </si>
  <si>
    <t># Predict probabilities</t>
  </si>
  <si>
    <t>probabilities &lt;- predict(
  model, 
  newdata = data.frame(x = x_seq), 
  type = "response"
  )</t>
  </si>
  <si>
    <t>head(x_seq)</t>
  </si>
  <si>
    <t>head(probabilities)</t>
  </si>
  <si>
    <t># Plot the data points</t>
  </si>
  <si>
    <t>plot(
  df$x, df$y, 
  pch = 16, 
  col = "blue", 
  xlab = "Predictor Variable", 
  ylab = "Probability of Success"
  )</t>
  </si>
  <si>
    <t># Add the logistic regression curve</t>
  </si>
  <si>
    <t>lines(x_seq, probabilities, col = "red", lwd =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</si>
</sst>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46</xdr:row>
      <xdr:rowOff>137160</xdr:rowOff>
    </xdr:from>
    <xdr:to>
      <xdr:col>11</xdr:col>
      <xdr:colOff>243840</xdr:colOff>
      <xdr:row>59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0880AC-F8D6-B71D-D292-21A00019E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0195560"/>
          <a:ext cx="3482340" cy="3482340"/>
        </a:xfrm>
        <a:prstGeom prst="rect">
          <a:avLst/>
        </a:prstGeom>
        <a:solidFill>
          <a:schemeClr val="bg1">
            <a:lumMod val="95000"/>
          </a:schemeClr>
        </a:solidFill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FD5F2-A6ED-4BE1-94C1-4C8DC94DCCB7}" name="Table1" displayName="Table1" ref="B2:C3" totalsRowShown="0">
  <autoFilter ref="B2:C3" xr:uid="{E7DFD5F2-A6ED-4BE1-94C1-4C8DC94DCCB7}"/>
  <tableColumns count="2">
    <tableColumn id="1" xr3:uid="{C38BFACE-A8BA-4311-80EC-E6D2081E683B}" name="Title"/>
    <tableColumn id="2" xr3:uid="{B63EE5B5-A7E0-4F90-9558-251A92304306}" name="Link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r-bloggers.com/2023/10/plotting-a-logistic-regression-in-base-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6F4B-D9B1-45C2-B6D9-3D7689BEEA8B}">
  <dimension ref="B2:C3"/>
  <sheetViews>
    <sheetView workbookViewId="0">
      <selection activeCell="B3" sqref="B3"/>
    </sheetView>
  </sheetViews>
  <sheetFormatPr defaultRowHeight="14.4" x14ac:dyDescent="0.3"/>
  <cols>
    <col min="2" max="2" width="32.88671875" bestFit="1" customWidth="1"/>
    <col min="3" max="3" width="43.5546875" bestFit="1" customWidth="1"/>
  </cols>
  <sheetData>
    <row r="2" spans="2:3" x14ac:dyDescent="0.3">
      <c r="B2" t="s">
        <v>0</v>
      </c>
      <c r="C2" t="s">
        <v>1</v>
      </c>
    </row>
    <row r="3" spans="2:3" x14ac:dyDescent="0.3">
      <c r="B3" t="s">
        <v>2</v>
      </c>
      <c r="C3" s="1" t="s">
        <v>3</v>
      </c>
    </row>
  </sheetData>
  <hyperlinks>
    <hyperlink ref="C3" r:id="rId1" display="https://www.r-bloggers.com/2023/10/plotting-a-logistic-regression-in-base-r/" xr:uid="{48DB46D4-D815-4448-A06E-C0E6705DC8E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FD8F-E87F-4D9A-A59C-1156588135E9}">
  <dimension ref="B2:D21"/>
  <sheetViews>
    <sheetView workbookViewId="0">
      <selection activeCell="B3" sqref="B3"/>
    </sheetView>
  </sheetViews>
  <sheetFormatPr defaultRowHeight="14.4" x14ac:dyDescent="0.3"/>
  <cols>
    <col min="2" max="2" width="14.6640625" bestFit="1" customWidth="1"/>
  </cols>
  <sheetData>
    <row r="2" spans="2:4" x14ac:dyDescent="0.3">
      <c r="B2" t="s">
        <v>4</v>
      </c>
      <c r="D2" t="str" cm="1">
        <f t="array" ref="D2:D21">_xll.RScript.Evaluate(B2)</f>
        <v>reticulate</v>
      </c>
    </row>
    <row r="3" spans="2:4" x14ac:dyDescent="0.3">
      <c r="D3" t="str">
        <v>ggthemes</v>
      </c>
    </row>
    <row r="4" spans="2:4" x14ac:dyDescent="0.3">
      <c r="D4" t="str">
        <v>forecast</v>
      </c>
    </row>
    <row r="5" spans="2:4" x14ac:dyDescent="0.3">
      <c r="D5" t="str">
        <v>lubridate</v>
      </c>
    </row>
    <row r="6" spans="2:4" x14ac:dyDescent="0.3">
      <c r="D6" t="str">
        <v>forcats</v>
      </c>
    </row>
    <row r="7" spans="2:4" x14ac:dyDescent="0.3">
      <c r="D7" t="str">
        <v>stringr</v>
      </c>
    </row>
    <row r="8" spans="2:4" x14ac:dyDescent="0.3">
      <c r="D8" t="str">
        <v>dplyr</v>
      </c>
    </row>
    <row r="9" spans="2:4" x14ac:dyDescent="0.3">
      <c r="D9" t="str">
        <v>purrr</v>
      </c>
    </row>
    <row r="10" spans="2:4" x14ac:dyDescent="0.3">
      <c r="D10" t="str">
        <v>readr</v>
      </c>
    </row>
    <row r="11" spans="2:4" x14ac:dyDescent="0.3">
      <c r="D11" t="str">
        <v>tidyr</v>
      </c>
    </row>
    <row r="12" spans="2:4" x14ac:dyDescent="0.3">
      <c r="D12" t="str">
        <v>tibble</v>
      </c>
    </row>
    <row r="13" spans="2:4" x14ac:dyDescent="0.3">
      <c r="D13" t="str">
        <v>ggplot2</v>
      </c>
    </row>
    <row r="14" spans="2:4" x14ac:dyDescent="0.3">
      <c r="D14" t="str">
        <v>tidyverse</v>
      </c>
    </row>
    <row r="15" spans="2:4" x14ac:dyDescent="0.3">
      <c r="D15" t="str">
        <v>stats</v>
      </c>
    </row>
    <row r="16" spans="2:4" x14ac:dyDescent="0.3">
      <c r="D16" t="str">
        <v>graphics</v>
      </c>
    </row>
    <row r="17" spans="4:4" x14ac:dyDescent="0.3">
      <c r="D17" t="str">
        <v>grDevices</v>
      </c>
    </row>
    <row r="18" spans="4:4" x14ac:dyDescent="0.3">
      <c r="D18" t="str">
        <v>utils</v>
      </c>
    </row>
    <row r="19" spans="4:4" x14ac:dyDescent="0.3">
      <c r="D19" t="str">
        <v>datasets</v>
      </c>
    </row>
    <row r="20" spans="4:4" x14ac:dyDescent="0.3">
      <c r="D20" t="str">
        <v>methods</v>
      </c>
    </row>
    <row r="21" spans="4:4" x14ac:dyDescent="0.3">
      <c r="D21" t="str">
        <v>base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BF2F-47B0-4555-BB38-5C1C96705387}">
  <dimension ref="B2:L56"/>
  <sheetViews>
    <sheetView tabSelected="1" workbookViewId="0"/>
  </sheetViews>
  <sheetFormatPr defaultRowHeight="14.4" x14ac:dyDescent="0.3"/>
  <cols>
    <col min="2" max="2" width="35.5546875" customWidth="1"/>
  </cols>
  <sheetData>
    <row r="2" spans="2:12" x14ac:dyDescent="0.3">
      <c r="B2" t="s">
        <v>5</v>
      </c>
      <c r="D2" t="str" cm="1">
        <f t="array" ref="D2">_xll.RScript.Evaluate(B2)</f>
        <v>OK</v>
      </c>
    </row>
    <row r="3" spans="2:12" ht="72" x14ac:dyDescent="0.3">
      <c r="B3" s="2" t="s">
        <v>6</v>
      </c>
      <c r="D3" t="str" cm="1">
        <f t="array" ref="D3">_xll.RScript.Evaluate(B3)</f>
        <v>df</v>
      </c>
    </row>
    <row r="5" spans="2:12" x14ac:dyDescent="0.3">
      <c r="B5" t="s">
        <v>7</v>
      </c>
      <c r="D5" t="str" cm="1">
        <f t="array" ref="D5:F11">_xll.RScript.Evaluate(B5)</f>
        <v>Index</v>
      </c>
      <c r="E5" t="str">
        <v>x</v>
      </c>
      <c r="F5" t="str">
        <v>y</v>
      </c>
    </row>
    <row r="6" spans="2:12" x14ac:dyDescent="0.3">
      <c r="D6" t="str">
        <v>1</v>
      </c>
      <c r="E6">
        <v>2.8757752012461424</v>
      </c>
      <c r="F6">
        <v>0</v>
      </c>
    </row>
    <row r="7" spans="2:12" x14ac:dyDescent="0.3">
      <c r="D7" t="str">
        <v>2</v>
      </c>
      <c r="E7">
        <v>7.8830513544380665</v>
      </c>
      <c r="F7">
        <v>1</v>
      </c>
    </row>
    <row r="8" spans="2:12" x14ac:dyDescent="0.3">
      <c r="D8" t="str">
        <v>3</v>
      </c>
      <c r="E8">
        <v>4.0897692181169987</v>
      </c>
      <c r="F8">
        <v>0</v>
      </c>
    </row>
    <row r="9" spans="2:12" x14ac:dyDescent="0.3">
      <c r="D9" t="str">
        <v>4</v>
      </c>
      <c r="E9">
        <v>8.8301740400493145</v>
      </c>
      <c r="F9">
        <v>0</v>
      </c>
    </row>
    <row r="10" spans="2:12" x14ac:dyDescent="0.3">
      <c r="D10" t="str">
        <v>5</v>
      </c>
      <c r="E10">
        <v>9.404672842938453</v>
      </c>
      <c r="F10">
        <v>1</v>
      </c>
    </row>
    <row r="11" spans="2:12" x14ac:dyDescent="0.3">
      <c r="D11" t="str">
        <v>6</v>
      </c>
      <c r="E11">
        <v>0.4555649938993156</v>
      </c>
      <c r="F11">
        <v>0</v>
      </c>
    </row>
    <row r="13" spans="2:12" x14ac:dyDescent="0.3">
      <c r="B13" t="s">
        <v>8</v>
      </c>
    </row>
    <row r="14" spans="2:12" x14ac:dyDescent="0.3">
      <c r="B14" t="s">
        <v>9</v>
      </c>
      <c r="D14" t="str" cm="1">
        <f t="array" ref="D14">_xll.RScript.Evaluate(B14)</f>
        <v>model</v>
      </c>
    </row>
    <row r="16" spans="2:12" x14ac:dyDescent="0.3">
      <c r="B16" t="s">
        <v>10</v>
      </c>
      <c r="D16" t="str" cm="1">
        <f t="array" ref="D16:L17">_xll.RScript.Evaluate(B16)</f>
        <v>Index</v>
      </c>
      <c r="E16" t="str">
        <v>null.deviance</v>
      </c>
      <c r="F16" t="str">
        <v>df.null</v>
      </c>
      <c r="G16" t="str">
        <v>logLik</v>
      </c>
      <c r="H16" t="str">
        <v>AIC</v>
      </c>
      <c r="I16" t="str">
        <v>BIC</v>
      </c>
      <c r="J16" t="str">
        <v>deviance</v>
      </c>
      <c r="K16" t="str">
        <v>df.residual</v>
      </c>
      <c r="L16" t="str">
        <v>nobs</v>
      </c>
    </row>
    <row r="17" spans="2:12" x14ac:dyDescent="0.3">
      <c r="D17" t="str">
        <v>1</v>
      </c>
      <c r="E17">
        <v>138.46939341799231</v>
      </c>
      <c r="F17">
        <v>99</v>
      </c>
      <c r="G17">
        <v>-51.537595406546302</v>
      </c>
      <c r="H17">
        <v>107.0751908130926</v>
      </c>
      <c r="I17">
        <v>112.28553118506879</v>
      </c>
      <c r="J17">
        <v>103.0751908130926</v>
      </c>
      <c r="K17">
        <v>98</v>
      </c>
      <c r="L17">
        <v>100</v>
      </c>
    </row>
    <row r="19" spans="2:12" x14ac:dyDescent="0.3">
      <c r="B19" t="s">
        <v>11</v>
      </c>
      <c r="D19" t="str" cm="1">
        <f t="array" ref="D19:I21">_xll.RScript.Evaluate(B19)</f>
        <v>Index</v>
      </c>
      <c r="E19" t="str">
        <v>term</v>
      </c>
      <c r="F19" t="str">
        <v>estimate</v>
      </c>
      <c r="G19" t="str">
        <v>std.error</v>
      </c>
      <c r="H19" t="str">
        <v>statistic</v>
      </c>
      <c r="I19" t="str">
        <v>p.value</v>
      </c>
    </row>
    <row r="20" spans="2:12" x14ac:dyDescent="0.3">
      <c r="D20" t="str">
        <v>1</v>
      </c>
      <c r="E20" t="str">
        <v>(Intercept)</v>
      </c>
      <c r="F20">
        <v>-2.6284578401559484</v>
      </c>
      <c r="G20">
        <v>0.57140067784952298</v>
      </c>
      <c r="H20">
        <v>-4.6000257648419289</v>
      </c>
      <c r="I20">
        <v>4.2243868810697014E-6</v>
      </c>
    </row>
    <row r="21" spans="2:12" x14ac:dyDescent="0.3">
      <c r="D21" t="str">
        <v>2</v>
      </c>
      <c r="E21" t="str">
        <v>x</v>
      </c>
      <c r="F21">
        <v>0.50509266873034364</v>
      </c>
      <c r="G21">
        <v>0.10179672479214216</v>
      </c>
      <c r="H21">
        <v>4.9617772061103924</v>
      </c>
      <c r="I21">
        <v>6.9851090481532397E-7</v>
      </c>
    </row>
    <row r="23" spans="2:12" ht="28.8" x14ac:dyDescent="0.3">
      <c r="B23" s="2" t="s">
        <v>12</v>
      </c>
      <c r="D23" t="str" cm="1">
        <f t="array" ref="D23:E31">TRANSPOSE(_xll.RScript.Evaluate(B23))</f>
        <v>Index</v>
      </c>
      <c r="E23" t="str">
        <v>1</v>
      </c>
    </row>
    <row r="24" spans="2:12" x14ac:dyDescent="0.3">
      <c r="D24" t="str">
        <v>y</v>
      </c>
      <c r="E24">
        <v>0</v>
      </c>
    </row>
    <row r="25" spans="2:12" x14ac:dyDescent="0.3">
      <c r="D25" t="str">
        <v>x</v>
      </c>
      <c r="E25">
        <v>2.8757752012461424</v>
      </c>
    </row>
    <row r="26" spans="2:12" x14ac:dyDescent="0.3">
      <c r="D26" t="str">
        <v>.fitted</v>
      </c>
      <c r="E26">
        <v>-1.1759248690899933</v>
      </c>
    </row>
    <row r="27" spans="2:12" x14ac:dyDescent="0.3">
      <c r="D27" t="str">
        <v>.resid</v>
      </c>
      <c r="E27">
        <v>-0.7333580849299759</v>
      </c>
    </row>
    <row r="28" spans="2:12" x14ac:dyDescent="0.3">
      <c r="D28" t="str">
        <v>.hat</v>
      </c>
      <c r="E28">
        <v>1.9697481655482043E-2</v>
      </c>
    </row>
    <row r="29" spans="2:12" x14ac:dyDescent="0.3">
      <c r="D29" t="str">
        <v>.sigma</v>
      </c>
      <c r="E29">
        <v>1.0280928710188779</v>
      </c>
    </row>
    <row r="30" spans="2:12" x14ac:dyDescent="0.3">
      <c r="D30" t="str">
        <v>.cooksd</v>
      </c>
      <c r="E30">
        <v>3.16200673480724E-3</v>
      </c>
    </row>
    <row r="31" spans="2:12" x14ac:dyDescent="0.3">
      <c r="D31" t="str">
        <v>.std.resid</v>
      </c>
      <c r="E31">
        <v>-0.74068922189283259</v>
      </c>
    </row>
    <row r="33" spans="2:4" x14ac:dyDescent="0.3">
      <c r="B33" t="s">
        <v>13</v>
      </c>
    </row>
    <row r="34" spans="2:4" x14ac:dyDescent="0.3">
      <c r="B34" t="s">
        <v>14</v>
      </c>
      <c r="D34" t="str" cm="1">
        <f t="array" ref="D34">_xll.RScript.Evaluate(B34)</f>
        <v>x_seq</v>
      </c>
    </row>
    <row r="36" spans="2:4" x14ac:dyDescent="0.3">
      <c r="B36" t="s">
        <v>15</v>
      </c>
    </row>
    <row r="37" spans="2:4" ht="72" x14ac:dyDescent="0.3">
      <c r="B37" s="2" t="s">
        <v>16</v>
      </c>
      <c r="D37" t="str" cm="1">
        <f t="array" ref="D37">_xll.RScript.Evaluate(B37)</f>
        <v>probabilities</v>
      </c>
    </row>
    <row r="38" spans="2:4" x14ac:dyDescent="0.3">
      <c r="B38" t="s">
        <v>17</v>
      </c>
      <c r="D38" cm="1">
        <f t="array" ref="D38:D43">_xll.RScript.Evaluate(B38)</f>
        <v>0</v>
      </c>
    </row>
    <row r="39" spans="2:4" x14ac:dyDescent="0.3">
      <c r="D39">
        <v>0.01</v>
      </c>
    </row>
    <row r="40" spans="2:4" x14ac:dyDescent="0.3">
      <c r="D40">
        <v>0.02</v>
      </c>
    </row>
    <row r="41" spans="2:4" x14ac:dyDescent="0.3">
      <c r="D41">
        <v>0.03</v>
      </c>
    </row>
    <row r="42" spans="2:4" x14ac:dyDescent="0.3">
      <c r="D42">
        <v>0.04</v>
      </c>
    </row>
    <row r="43" spans="2:4" x14ac:dyDescent="0.3">
      <c r="D43">
        <v>0.05</v>
      </c>
    </row>
    <row r="45" spans="2:4" x14ac:dyDescent="0.3">
      <c r="B45" t="s">
        <v>18</v>
      </c>
      <c r="D45" cm="1">
        <f t="array" ref="D45:D50">_xll.RScript.Evaluate(B45)</f>
        <v>6.7329227468111E-2</v>
      </c>
    </row>
    <row r="46" spans="2:4" x14ac:dyDescent="0.3">
      <c r="D46">
        <v>6.7647099471464037E-2</v>
      </c>
    </row>
    <row r="47" spans="2:4" x14ac:dyDescent="0.3">
      <c r="D47">
        <v>6.7966362837121458E-2</v>
      </c>
    </row>
    <row r="48" spans="2:4" x14ac:dyDescent="0.3">
      <c r="D48">
        <v>6.828702262105521E-2</v>
      </c>
    </row>
    <row r="49" spans="2:4" x14ac:dyDescent="0.3">
      <c r="D49">
        <v>6.8609083887781266E-2</v>
      </c>
    </row>
    <row r="50" spans="2:4" x14ac:dyDescent="0.3">
      <c r="D50">
        <v>6.8932551710271711E-2</v>
      </c>
    </row>
    <row r="52" spans="2:4" x14ac:dyDescent="0.3">
      <c r="B52" t="s">
        <v>19</v>
      </c>
    </row>
    <row r="53" spans="2:4" ht="100.8" x14ac:dyDescent="0.3">
      <c r="B53" s="2" t="s">
        <v>20</v>
      </c>
      <c r="D53" t="str" cm="1">
        <f t="array" ref="D53">_xll.RScript.Evaluate(B53)</f>
        <v>OK</v>
      </c>
    </row>
    <row r="55" spans="2:4" x14ac:dyDescent="0.3">
      <c r="B55" t="s">
        <v>21</v>
      </c>
    </row>
    <row r="56" spans="2:4" x14ac:dyDescent="0.3">
      <c r="B56" t="s">
        <v>22</v>
      </c>
      <c r="D56" t="str" cm="1">
        <f t="array" ref="D56">_xll.RScript.Evaluate(B56)</f>
        <v>OK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References</vt:lpstr>
      <vt:lpstr>Libraries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2023-10-27T15:33:57Z</dcterms:created>
  <dcterms:modified xsi:type="dcterms:W3CDTF">2026-09-25T11:31:27Z</dcterms:modified>
</cp:coreProperties>
</file>