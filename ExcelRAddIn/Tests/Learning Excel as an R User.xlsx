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7F884710-E0ED-4E11-BBF6-5DAB6AB7DC96}" xr6:coauthVersionLast="47" xr6:coauthVersionMax="47" xr10:uidLastSave="{00000000-0000-0000-0000-000000000000}"/>
  <bookViews>
    <workbookView xWindow="-108" yWindow="-108" windowWidth="23256" windowHeight="12456" activeTab="1" xr2:uid="{06B270AC-E0BE-4607-89CF-CA01D04C86B4}"/>
  </bookViews>
  <sheets>
    <sheet name="References" sheetId="1" r:id="rId1"/>
    <sheet name="Libraries" sheetId="2" r:id="rId2"/>
    <sheet name="Examp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3" l="1" a="1"/>
  <c r="E54" i="3" a="1"/>
  <c r="E53" i="3" a="1"/>
  <c r="E51" i="3" a="1"/>
  <c r="E50" i="3" a="1"/>
  <c r="D50" i="3" a="1"/>
  <c r="C50" i="3" a="1"/>
  <c r="D24" i="3" a="1"/>
  <c r="D23" i="3" a="1"/>
  <c r="D22" i="3" a="1"/>
  <c r="D21" i="3" a="1"/>
  <c r="D20" i="3" a="1"/>
  <c r="D19" i="3" a="1"/>
  <c r="D18" i="3" a="1"/>
  <c r="D15" i="3" a="1"/>
  <c r="D14" i="3" a="1"/>
  <c r="D13" i="3" a="1"/>
  <c r="D12" i="3" a="1"/>
  <c r="D11" i="3" a="1"/>
  <c r="D10" i="3" a="1"/>
  <c r="D7" i="3" a="1"/>
  <c r="D4" i="3" a="1"/>
  <c r="D3" i="3" a="1"/>
  <c r="D2" i="3" a="1"/>
  <c r="D3" i="2" a="1"/>
  <c r="D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<sst xmlns="http://schemas.openxmlformats.org/spreadsheetml/2006/main" count="26" uniqueCount="26">
  <si>
    <t>Title</t>
  </si>
  <si>
    <t>Link</t>
  </si>
  <si>
    <t>https://www.jumpingrivers.com/blog/learning-excel-after-r/</t>
  </si>
  <si>
    <t>Learning Excel as an R user</t>
  </si>
  <si>
    <t>library(tidyverse)</t>
  </si>
  <si>
    <t>library(MASS)</t>
  </si>
  <si>
    <t>x &lt;- 0:11</t>
  </si>
  <si>
    <t>## Cumulative ('p') = Sum of discrete prob.s ('d');  Relative error :</t>
  </si>
  <si>
    <t>summary(1 - cumsum(dnbinom(x, size = 2, prob = 1/2)) / pnbinom(x, size  = 2, prob = 1/2))</t>
  </si>
  <si>
    <t>x &lt;- 0:15</t>
  </si>
  <si>
    <t>size &lt;- (1:20)/4</t>
  </si>
  <si>
    <t>persp(x, size, dnb &lt;- outer(x, size, function(x,s) dnbinom(x, s, prob = 0.4)), xlab = "x", ylab = "s", zlab = "density", theta = 150)</t>
  </si>
  <si>
    <t>title(tit &lt;- "negative binomial density(x,s, pr = 0.4)  vs.  x &amp; s")</t>
  </si>
  <si>
    <t>image  (x, size, log10(dnb), main = paste("log [", tit, "]"))</t>
  </si>
  <si>
    <t>contour(x, size, log10(dnb), add = TRUE)</t>
  </si>
  <si>
    <t>## Alternative parametrization</t>
  </si>
  <si>
    <t>x1 &lt;- rnbinom(500, mu = 4, size = 1)</t>
  </si>
  <si>
    <t>x2 &lt;- rnbinom(500, mu = 4, size = 10)</t>
  </si>
  <si>
    <t>x3 &lt;- rnbinom(500, mu = 4, size = 100)</t>
  </si>
  <si>
    <t>h1 &lt;- hist(x1, breaks = 20, plot = FALSE)</t>
  </si>
  <si>
    <t>h2 &lt;- hist(x2, breaks = h1$breaks, plot = FALSE)</t>
  </si>
  <si>
    <t>h3 &lt;- hist(x3, breaks = h1$breaks, plot = FALSE)</t>
  </si>
  <si>
    <t>barplot(rbind(h1$counts, h2$counts, h3$counts), beside = TRUE, col = c("red","blue","cyan"), names.arg = round(h1$breaks[-length(h1$breaks)]))</t>
  </si>
  <si>
    <t>dnbinom(x, size = 1, prob = 1/2) * 2^(1 + x)</t>
  </si>
  <si>
    <t>126 /  dnbinom(0:8, size  = 2, prob  = 1/2)</t>
  </si>
  <si>
    <t>fitd = fitdistr(x, "negative binomial")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</si>
</sst>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441960</xdr:colOff>
      <xdr:row>23</xdr:row>
      <xdr:rowOff>426720</xdr:rowOff>
    </xdr:from>
    <xdr:to>
      <xdr:col>11</xdr:col>
      <xdr:colOff>441960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E3431-2B30-94AE-C235-764AD243E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9060" y="4815840"/>
          <a:ext cx="3048000" cy="304800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31B97-09DF-43AA-8CAF-EE4BF79DCEEB}" name="Table1" displayName="Table1" ref="B2:C3" totalsRowShown="0">
  <autoFilter ref="B2:C3" xr:uid="{E3631B97-09DF-43AA-8CAF-EE4BF79DCEEB}"/>
  <tableColumns count="2">
    <tableColumn id="1" xr3:uid="{543DE30A-039E-44F0-BEE5-BACE5D994A64}" name="Title"/>
    <tableColumn id="2" xr3:uid="{47C706FB-8E2B-4334-84B8-830CD5510427}" name="Link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jumpingrivers.com/blog/learning-excel-after-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4A77-DB84-454F-A980-C74B227AF40E}">
  <dimension ref="B2:C3"/>
  <sheetViews>
    <sheetView workbookViewId="0">
      <selection activeCell="B4" sqref="B4"/>
    </sheetView>
  </sheetViews>
  <sheetFormatPr defaultRowHeight="14.4" x14ac:dyDescent="0.3"/>
  <cols>
    <col min="2" max="2" width="23" bestFit="1" customWidth="1"/>
    <col min="3" max="3" width="51.21875" bestFit="1" customWidth="1"/>
  </cols>
  <sheetData>
    <row r="2" spans="2:3" x14ac:dyDescent="0.3">
      <c r="B2" t="s">
        <v>0</v>
      </c>
      <c r="C2" t="s">
        <v>1</v>
      </c>
    </row>
    <row r="3" spans="2:3" x14ac:dyDescent="0.3">
      <c r="B3" t="s">
        <v>3</v>
      </c>
      <c r="C3" s="1" t="s">
        <v>2</v>
      </c>
    </row>
  </sheetData>
  <hyperlinks>
    <hyperlink ref="C3" r:id="rId1" xr:uid="{5ACF1CD1-FD06-4181-A702-0A3BF7EA62ED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2155-B42F-41BD-9823-77E451D9190B}">
  <dimension ref="B2:D3"/>
  <sheetViews>
    <sheetView tabSelected="1" workbookViewId="0"/>
  </sheetViews>
  <sheetFormatPr defaultRowHeight="14.4" x14ac:dyDescent="0.3"/>
  <cols>
    <col min="2" max="2" width="14.6640625" bestFit="1" customWidth="1"/>
  </cols>
  <sheetData>
    <row r="2" spans="2:4" x14ac:dyDescent="0.3">
      <c r="B2" t="s">
        <v>4</v>
      </c>
      <c r="D2" t="str" cm="1">
        <f t="array" ref="D2">_xll.RScript.Evaluate(B2, TRUE)</f>
        <v>OK</v>
      </c>
    </row>
    <row r="3" spans="2:4" x14ac:dyDescent="0.3">
      <c r="B3" t="s">
        <v>5</v>
      </c>
      <c r="D3" t="str" cm="1">
        <f t="array" ref="D3">_xll.RScript.Evaluate(B3, TRUE)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AD40-8C45-4C3E-B0E9-4C9F0B70D05B}">
  <dimension ref="B2:O54"/>
  <sheetViews>
    <sheetView workbookViewId="0">
      <selection activeCell="B2" sqref="B2"/>
    </sheetView>
  </sheetViews>
  <sheetFormatPr defaultRowHeight="14.4" x14ac:dyDescent="0.3"/>
  <cols>
    <col min="2" max="2" width="57.88671875" customWidth="1"/>
    <col min="4" max="4" width="12.6640625" bestFit="1" customWidth="1"/>
  </cols>
  <sheetData>
    <row r="2" spans="2:15" x14ac:dyDescent="0.3">
      <c r="B2" t="s">
        <v>6</v>
      </c>
      <c r="D2" t="str" cm="1">
        <f t="array" ref="D2">_xll.RScript.Evaluate(B2)</f>
        <v>x</v>
      </c>
    </row>
    <row r="3" spans="2:15" x14ac:dyDescent="0.3">
      <c r="B3" t="s">
        <v>23</v>
      </c>
      <c r="D3" cm="1">
        <f t="array" ref="D3:O3">TRANSPOSE(_xll.RScript.Evaluate(B3))</f>
        <v>1</v>
      </c>
      <c r="E3">
        <v>0.99999999999999989</v>
      </c>
      <c r="F3">
        <v>1.0000000000000002</v>
      </c>
      <c r="G3">
        <v>1</v>
      </c>
      <c r="H3">
        <v>0.99999999999999967</v>
      </c>
      <c r="I3">
        <v>0.99999999999999978</v>
      </c>
      <c r="J3">
        <v>1.0000000000000002</v>
      </c>
      <c r="K3">
        <v>1.0000000000000004</v>
      </c>
      <c r="L3">
        <v>1.0000000000000007</v>
      </c>
      <c r="M3">
        <v>0.99999999999999933</v>
      </c>
      <c r="N3">
        <v>1</v>
      </c>
      <c r="O3">
        <v>1.0000000000000002</v>
      </c>
    </row>
    <row r="4" spans="2:15" x14ac:dyDescent="0.3">
      <c r="B4" t="s">
        <v>24</v>
      </c>
      <c r="D4" cm="1">
        <f t="array" ref="D4:L4">TRANSPOSE(_xll.RScript.Evaluate(B4))</f>
        <v>504</v>
      </c>
      <c r="E4">
        <v>503.99999999999989</v>
      </c>
      <c r="F4">
        <v>672</v>
      </c>
      <c r="G4">
        <v>1008.0000000000001</v>
      </c>
      <c r="H4">
        <v>1612.7999999999995</v>
      </c>
      <c r="I4">
        <v>2688.0000000000014</v>
      </c>
      <c r="J4">
        <v>4607.9999999999991</v>
      </c>
      <c r="K4">
        <v>8064</v>
      </c>
      <c r="L4">
        <v>14336.000000000015</v>
      </c>
    </row>
    <row r="6" spans="2:15" x14ac:dyDescent="0.3">
      <c r="B6" t="s">
        <v>7</v>
      </c>
    </row>
    <row r="7" spans="2:15" ht="28.8" x14ac:dyDescent="0.3">
      <c r="B7" s="2" t="s">
        <v>8</v>
      </c>
      <c r="D7" s="3" t="str" cm="1">
        <f t="array" ref="D7:I8">TRANSPOSE(_xll.RScript.Evaluate(B7, "nv"))</f>
        <v>Min.</v>
      </c>
      <c r="E7" s="3" t="str">
        <v>1st Qu.</v>
      </c>
      <c r="F7" s="3" t="str">
        <v>Median</v>
      </c>
      <c r="G7" s="3" t="str">
        <v>Mean</v>
      </c>
      <c r="H7" s="3" t="str">
        <v>3rd Qu.</v>
      </c>
      <c r="I7" s="3" t="str">
        <v>Max.</v>
      </c>
    </row>
    <row r="8" spans="2:15" x14ac:dyDescent="0.3">
      <c r="D8" s="3">
        <v>-2.2204460492503131E-16</v>
      </c>
      <c r="E8" s="3">
        <v>0</v>
      </c>
      <c r="F8" s="3">
        <v>0</v>
      </c>
      <c r="G8" s="3">
        <v>-1.8503717077085941E-17</v>
      </c>
      <c r="H8" s="3">
        <v>0</v>
      </c>
      <c r="I8" s="3">
        <v>0</v>
      </c>
    </row>
    <row r="10" spans="2:15" x14ac:dyDescent="0.3">
      <c r="B10" t="s">
        <v>9</v>
      </c>
      <c r="D10" t="str" cm="1">
        <f t="array" ref="D10">_xll.RScript.Evaluate(B10)</f>
        <v>x</v>
      </c>
    </row>
    <row r="11" spans="2:15" x14ac:dyDescent="0.3">
      <c r="B11" t="s">
        <v>10</v>
      </c>
      <c r="D11" t="str" cm="1">
        <f t="array" ref="D11">_xll.RScript.Evaluate(B11)</f>
        <v>size</v>
      </c>
    </row>
    <row r="12" spans="2:15" ht="28.8" x14ac:dyDescent="0.3">
      <c r="B12" s="2" t="s">
        <v>11</v>
      </c>
      <c r="D12" t="str" cm="1">
        <f t="array" ref="D12">_xll.RScript.Evaluate(B12)</f>
        <v>Exception: Value cannot be null.</v>
      </c>
    </row>
    <row r="13" spans="2:15" x14ac:dyDescent="0.3">
      <c r="B13" t="s">
        <v>12</v>
      </c>
      <c r="D13" t="str" cm="1">
        <f t="array" ref="D13">_xll.RScript.Evaluate(B13)</f>
        <v>OK</v>
      </c>
    </row>
    <row r="14" spans="2:15" x14ac:dyDescent="0.3">
      <c r="B14" t="s">
        <v>13</v>
      </c>
      <c r="D14" t="str" cm="1">
        <f t="array" ref="D14">_xll.RScript.Evaluate(B14)</f>
        <v>OK</v>
      </c>
    </row>
    <row r="15" spans="2:15" x14ac:dyDescent="0.3">
      <c r="B15" t="s">
        <v>14</v>
      </c>
      <c r="D15" t="str" cm="1">
        <f t="array" ref="D15">_xll.RScript.Evaluate(B15)</f>
        <v>OK</v>
      </c>
    </row>
    <row r="17" spans="2:4" x14ac:dyDescent="0.3">
      <c r="B17" t="s">
        <v>15</v>
      </c>
    </row>
    <row r="18" spans="2:4" x14ac:dyDescent="0.3">
      <c r="B18" t="s">
        <v>16</v>
      </c>
      <c r="D18" t="str" cm="1">
        <f t="array" ref="D18">_xll.RScript.Evaluate(B18)</f>
        <v>x1</v>
      </c>
    </row>
    <row r="19" spans="2:4" x14ac:dyDescent="0.3">
      <c r="B19" t="s">
        <v>17</v>
      </c>
      <c r="D19" t="str" cm="1">
        <f t="array" ref="D19">_xll.RScript.Evaluate(B19)</f>
        <v>x2</v>
      </c>
    </row>
    <row r="20" spans="2:4" x14ac:dyDescent="0.3">
      <c r="B20" t="s">
        <v>18</v>
      </c>
      <c r="D20" t="str" cm="1">
        <f t="array" ref="D20">_xll.RScript.Evaluate(B20)</f>
        <v>x3</v>
      </c>
    </row>
    <row r="21" spans="2:4" x14ac:dyDescent="0.3">
      <c r="B21" t="s">
        <v>19</v>
      </c>
      <c r="D21" t="str" cm="1">
        <f t="array" ref="D21">_xll.RScript.Evaluate(B21)</f>
        <v>h1</v>
      </c>
    </row>
    <row r="22" spans="2:4" x14ac:dyDescent="0.3">
      <c r="B22" t="s">
        <v>20</v>
      </c>
      <c r="D22" t="str" cm="1">
        <f t="array" ref="D22">_xll.RScript.Evaluate(B22)</f>
        <v>h2</v>
      </c>
    </row>
    <row r="23" spans="2:4" x14ac:dyDescent="0.3">
      <c r="B23" t="s">
        <v>21</v>
      </c>
      <c r="D23" t="str" cm="1">
        <f t="array" ref="D23">_xll.RScript.Evaluate(B23)</f>
        <v>h3</v>
      </c>
    </row>
    <row r="24" spans="2:4" ht="43.2" x14ac:dyDescent="0.3">
      <c r="B24" s="2" t="s">
        <v>22</v>
      </c>
      <c r="D24" t="e" cm="1" vm="1">
        <f t="array" aca="1" ref="D24" ca="1">TRANSPOSE(_xll.RScript.Evaluate(B24))</f>
        <v>#VALUE!</v>
      </c>
    </row>
    <row r="50" spans="2:8" x14ac:dyDescent="0.3">
      <c r="B50" t="s">
        <v>25</v>
      </c>
      <c r="C50" t="str" cm="1">
        <f t="array" ref="C50">_xll.RScript.Evaluate(B50)</f>
        <v>fitd</v>
      </c>
      <c r="D50" t="str" cm="1">
        <f t="array" ref="D50:D54">_xll.RScript.Evaluate(C50)</f>
        <v>estimate</v>
      </c>
      <c r="E50" cm="1">
        <f t="array" ref="E50:F50">TRANSPOSE(_xll.RScript.Evaluate($C$50&amp;"$"&amp;D50))</f>
        <v>2.6757561034660249</v>
      </c>
      <c r="F50">
        <v>7.5000000771496635</v>
      </c>
    </row>
    <row r="51" spans="2:8" x14ac:dyDescent="0.3">
      <c r="D51" t="str">
        <v>sd</v>
      </c>
      <c r="E51" cm="1">
        <f t="array" ref="E51:F51">TRANSPOSE(_xll.RScript.Evaluate($C$50&amp;"$"&amp;D51))</f>
        <v>1.4194728051557026</v>
      </c>
      <c r="F51">
        <v>1.3351520048988903</v>
      </c>
    </row>
    <row r="52" spans="2:8" x14ac:dyDescent="0.3">
      <c r="D52" t="str">
        <v>vcov</v>
      </c>
      <c r="G52" cm="1">
        <f t="array" ref="G52:H53">TRANSPOSE(_xll.RScript.Evaluate($C$50&amp;"$"&amp;D52))</f>
        <v>2.0149030445765992</v>
      </c>
      <c r="H52">
        <v>-1.2760737816757015E-8</v>
      </c>
    </row>
    <row r="53" spans="2:8" x14ac:dyDescent="0.3">
      <c r="D53" t="str">
        <v>loglik</v>
      </c>
      <c r="E53" cm="1">
        <f t="array" ref="E53">TRANSPOSE(_xll.RScript.Evaluate($C$50&amp;"$"&amp;D53))</f>
        <v>-47.399830685726805</v>
      </c>
      <c r="G53">
        <v>-1.2760737816757015E-8</v>
      </c>
      <c r="H53">
        <v>1.7826308761855265</v>
      </c>
    </row>
    <row r="54" spans="2:8" x14ac:dyDescent="0.3">
      <c r="D54" t="str">
        <v>n</v>
      </c>
      <c r="E54" cm="1">
        <f t="array" ref="E54">TRANSPOSE(_xll.RScript.Evaluate($C$50&amp;"$"&amp;D54))</f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References</vt:lpstr>
      <vt:lpstr>Libraries</vt:lpstr>
      <vt:lpstr>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2023-10-26T10:18:09Z</dcterms:created>
  <dcterms:modified xsi:type="dcterms:W3CDTF">2026-09-25T11:34:32Z</dcterms:modified>
</cp:coreProperties>
</file>