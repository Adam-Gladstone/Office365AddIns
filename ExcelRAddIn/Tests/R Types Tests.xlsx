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Projects\C#\Office\Office365 AddIns\ExcelRAddIn\Tests\"/>
    </mc:Choice>
  </mc:AlternateContent>
  <xr:revisionPtr revIDLastSave="0" documentId="13_ncr:1_{4803220B-26C8-4002-B38D-0CF91BCA584E}" xr6:coauthVersionLast="47" xr6:coauthVersionMax="47" xr10:uidLastSave="{00000000-0000-0000-0000-000000000000}"/>
  <bookViews>
    <workbookView xWindow="-108" yWindow="-108" windowWidth="23256" windowHeight="12456" tabRatio="852" firstSheet="11" activeTab="20" xr2:uid="{5877FA5A-76F9-4C4A-95F7-F8E57366BB43}"/>
  </bookViews>
  <sheets>
    <sheet name="Summary Types" sheetId="18" r:id="rId1"/>
    <sheet name="Character Vector" sheetId="1" r:id="rId2"/>
    <sheet name="Complex Vector" sheetId="2" r:id="rId3"/>
    <sheet name="Integer Vector" sheetId="3" r:id="rId4"/>
    <sheet name="Logical Vector" sheetId="4" r:id="rId5"/>
    <sheet name="Numeric Vector" sheetId="5" r:id="rId6"/>
    <sheet name="Character Matrix" sheetId="6" r:id="rId7"/>
    <sheet name="Complex Matrix" sheetId="7" r:id="rId8"/>
    <sheet name="Complex Matrices" sheetId="17" r:id="rId9"/>
    <sheet name="Integer Matrix" sheetId="8" r:id="rId10"/>
    <sheet name="Logical Matrix" sheetId="9" r:id="rId11"/>
    <sheet name="Numeric Matrix" sheetId="10" r:id="rId12"/>
    <sheet name="Factors" sheetId="13" r:id="rId13"/>
    <sheet name="Lists" sheetId="14" r:id="rId14"/>
    <sheet name="Matrices" sheetId="15" r:id="rId15"/>
    <sheet name="Complex" sheetId="16" r:id="rId16"/>
    <sheet name="Function" sheetId="19" r:id="rId17"/>
    <sheet name="S3 Class" sheetId="11" r:id="rId18"/>
    <sheet name="S4 Class" sheetId="12" r:id="rId19"/>
    <sheet name="Data Frames" sheetId="20" r:id="rId20"/>
    <sheet name="Dates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1" l="1"/>
  <c r="K6" i="21"/>
  <c r="J7" i="21"/>
  <c r="J6" i="21"/>
  <c r="D7" i="21" a="1"/>
  <c r="G7" i="21" a="1"/>
  <c r="G6" i="21" a="1"/>
  <c r="D6" i="21" a="1"/>
  <c r="G4" i="21" a="1"/>
  <c r="D4" i="21" a="1"/>
  <c r="G3" i="21" a="1"/>
  <c r="D3" i="21" a="1"/>
  <c r="G2" i="21" a="1"/>
  <c r="D2" i="21" a="1"/>
  <c r="B27" i="20" a="1"/>
  <c r="M27" i="20" s="1" a="1"/>
  <c r="D21" i="20" a="1"/>
  <c r="D17" i="20" a="1"/>
  <c r="E10" i="20" a="1"/>
  <c r="D10" i="20" a="1"/>
  <c r="D5" i="20" a="1"/>
  <c r="E5" i="20" a="1"/>
  <c r="D4" i="20" a="1"/>
  <c r="D3" i="20" a="1"/>
  <c r="D49" i="12" a="1"/>
  <c r="D45" i="12" a="1"/>
  <c r="D43" i="12" a="1"/>
  <c r="D28" i="12" a="1"/>
  <c r="D24" i="12" a="1"/>
  <c r="D22" i="12" a="1"/>
  <c r="E20" i="12" a="1"/>
  <c r="D20" i="12" a="1"/>
  <c r="E18" i="12" a="1"/>
  <c r="D18" i="12" a="1"/>
  <c r="D16" i="12" a="1"/>
  <c r="D15" i="12" a="1"/>
  <c r="D14" i="12" a="1"/>
  <c r="E10" i="12" a="1"/>
  <c r="E9" i="12" a="1"/>
  <c r="E8" i="12" a="1"/>
  <c r="D8" i="12" a="1"/>
  <c r="D6" i="12" a="1"/>
  <c r="D2" i="12" a="1"/>
  <c r="D14" i="11" a="1"/>
  <c r="D13" i="11" a="1"/>
  <c r="D12" i="11" a="1"/>
  <c r="D10" i="11" a="1"/>
  <c r="E7" i="11" a="1"/>
  <c r="E6" i="11" a="1"/>
  <c r="E5" i="11" a="1"/>
  <c r="D5" i="11" a="1"/>
  <c r="D3" i="11" a="1"/>
  <c r="D2" i="11" a="1"/>
  <c r="E19" i="19" a="1"/>
  <c r="D19" i="19" a="1"/>
  <c r="D7" i="19" a="1"/>
  <c r="E2" i="19" a="1"/>
  <c r="D2" i="19" a="1"/>
  <c r="H8" i="15" a="1"/>
  <c r="F8" i="15" a="1"/>
  <c r="D8" i="15" a="1"/>
  <c r="L2" i="15" a="1"/>
  <c r="H2" i="15" a="1"/>
  <c r="D2" i="15" a="1"/>
  <c r="D11" i="14" a="1"/>
  <c r="D9" i="14" a="1"/>
  <c r="E5" i="14" a="1"/>
  <c r="D5" i="14" a="1"/>
  <c r="D3" i="14" a="1"/>
  <c r="D2" i="14" a="1"/>
  <c r="D21" i="13" a="1"/>
  <c r="D17" i="13" a="1"/>
  <c r="D16" i="13" a="1"/>
  <c r="D15" i="13" a="1"/>
  <c r="D12" i="13" a="1"/>
  <c r="D9" i="13" a="1"/>
  <c r="D8" i="13" a="1"/>
  <c r="D6" i="13" a="1"/>
  <c r="D4" i="13" a="1"/>
  <c r="D3" i="13" a="1"/>
  <c r="D2" i="13" a="1"/>
  <c r="H3" i="10" a="1"/>
  <c r="E3" i="10" a="1"/>
  <c r="B2" i="10" a="1"/>
  <c r="H3" i="9" a="1"/>
  <c r="E2" i="9" a="1"/>
  <c r="B2" i="9" a="1"/>
  <c r="C2" i="8" a="1"/>
  <c r="C2" i="17" a="1"/>
  <c r="L4" i="7"/>
  <c r="L3" i="7"/>
  <c r="K4" i="7"/>
  <c r="K3" i="7"/>
  <c r="H2" i="7" a="1"/>
  <c r="C2" i="7" a="1"/>
  <c r="I7" i="6" a="1"/>
  <c r="C6" i="6" a="1"/>
  <c r="I3" i="6" a="1"/>
  <c r="C2" i="6" a="1"/>
  <c r="D2" i="5" a="1"/>
  <c r="C2" i="5" a="1"/>
  <c r="D2" i="4" a="1"/>
  <c r="E2" i="3" a="1"/>
  <c r="I3" i="3" a="1"/>
  <c r="B2" i="3" a="1"/>
  <c r="J3" i="2"/>
  <c r="H3" i="2"/>
  <c r="G3" i="2"/>
  <c r="J2" i="2" s="1" a="1"/>
  <c r="E3" i="2"/>
  <c r="D3" i="2" a="1"/>
  <c r="C2" i="2" a="1"/>
  <c r="H15" i="1" a="1"/>
  <c r="D15" i="1" a="1"/>
  <c r="H12" i="1" a="1"/>
  <c r="H11" i="1" a="1"/>
  <c r="G2" i="1" a="1"/>
  <c r="D2" i="1" a="1"/>
  <c r="H15" i="18" a="1"/>
  <c r="D10" i="18" a="1"/>
  <c r="C10" i="18" a="1"/>
  <c r="G8" i="18" a="1"/>
  <c r="C8" i="18" a="1"/>
  <c r="E6" i="18" a="1"/>
  <c r="E5" i="18" a="1"/>
  <c r="E4" i="18" a="1"/>
  <c r="E3" i="18" a="1"/>
  <c r="E2" i="18" a="1"/>
  <c r="F3" i="5" a="1"/>
  <c r="B3" i="3" a="1"/>
  <c r="L12" i="15" a="1"/>
  <c r="D3" i="15" a="1"/>
  <c r="D34" i="14" a="1"/>
  <c r="D28" i="14" a="1"/>
  <c r="D24" i="14" a="1"/>
  <c r="D21" i="14" a="1"/>
  <c r="D19" i="14" a="1"/>
  <c r="D15" i="14" a="1"/>
  <c r="C12" i="17" a="1"/>
  <c r="C11" i="17" a="1"/>
  <c r="C9" i="17" a="1"/>
  <c r="H16" i="18" a="1"/>
  <c r="K5" i="17" a="1"/>
  <c r="H5" i="17" a="1"/>
  <c r="E5" i="17" a="1"/>
  <c r="C11" i="18" a="1"/>
  <c r="L13" i="15" a="1"/>
  <c r="K6" i="17" a="1"/>
  <c r="D2" i="16" a="1"/>
  <c r="H3" i="15" a="1"/>
  <c r="D32" i="14" a="1"/>
  <c r="D30" i="14" a="1"/>
  <c r="C3" i="4"/>
  <c r="M3" i="9" a="1"/>
  <c r="D3" i="3" a="1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J35" i="2" s="1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J55" i="2" s="1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J75" i="2" s="1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J92" i="2" s="1"/>
  <c r="G93" i="2"/>
  <c r="H93" i="2"/>
  <c r="G94" i="2"/>
  <c r="H94" i="2"/>
  <c r="G95" i="2"/>
  <c r="H95" i="2"/>
  <c r="J95" i="2" s="1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J3" i="3" a="1"/>
  <c r="J3" i="9" a="1"/>
  <c r="E6" i="17" a="1"/>
  <c r="C16" i="4"/>
  <c r="C20" i="4"/>
  <c r="C19" i="4"/>
  <c r="C18" i="4"/>
  <c r="C17" i="4"/>
  <c r="C15" i="4"/>
  <c r="C5" i="4"/>
  <c r="C12" i="4"/>
  <c r="C13" i="4"/>
  <c r="C23" i="4"/>
  <c r="C22" i="4"/>
  <c r="C21" i="4"/>
  <c r="C14" i="4"/>
  <c r="C8" i="4"/>
  <c r="C11" i="4"/>
  <c r="C10" i="4"/>
  <c r="C9" i="4"/>
  <c r="C27" i="4"/>
  <c r="C7" i="4"/>
  <c r="C26" i="4"/>
  <c r="C6" i="4"/>
  <c r="C25" i="4"/>
  <c r="C24" i="4"/>
  <c r="C4" i="4"/>
  <c r="J72" i="2"/>
  <c r="J82" i="2"/>
  <c r="J52" i="2"/>
  <c r="J61" i="2"/>
  <c r="J62" i="2"/>
  <c r="J46" i="2"/>
  <c r="J32" i="2"/>
  <c r="J66" i="2"/>
  <c r="J42" i="2"/>
  <c r="J63" i="2"/>
  <c r="J43" i="2"/>
  <c r="J23" i="2"/>
  <c r="J17" i="2"/>
  <c r="J96" i="2"/>
  <c r="J76" i="2"/>
  <c r="J36" i="2"/>
  <c r="J6" i="2"/>
  <c r="J102" i="2"/>
  <c r="J12" i="2"/>
  <c r="J91" i="2"/>
  <c r="J71" i="2"/>
  <c r="J41" i="2"/>
  <c r="J21" i="2"/>
  <c r="J100" i="2"/>
  <c r="J80" i="2"/>
  <c r="J60" i="2"/>
  <c r="J30" i="2"/>
  <c r="J10" i="2"/>
  <c r="J9" i="2"/>
  <c r="J51" i="2"/>
  <c r="J50" i="2"/>
  <c r="J86" i="2"/>
  <c r="J56" i="2"/>
  <c r="J26" i="2"/>
  <c r="J16" i="2"/>
  <c r="J83" i="2"/>
  <c r="J22" i="2"/>
  <c r="J101" i="2"/>
  <c r="J81" i="2"/>
  <c r="J31" i="2"/>
  <c r="J11" i="2"/>
  <c r="J90" i="2"/>
  <c r="J70" i="2"/>
  <c r="J40" i="2"/>
  <c r="J20" i="2"/>
  <c r="J99" i="2"/>
  <c r="J68" i="2"/>
  <c r="J28" i="2"/>
  <c r="J97" i="2"/>
  <c r="J87" i="2"/>
  <c r="J67" i="2"/>
  <c r="J57" i="2"/>
  <c r="J47" i="2"/>
  <c r="J37" i="2"/>
  <c r="J27" i="2"/>
  <c r="J7" i="2"/>
  <c r="J49" i="2"/>
  <c r="J98" i="2"/>
  <c r="J48" i="2"/>
  <c r="J77" i="2"/>
  <c r="J88" i="2"/>
  <c r="J38" i="2"/>
  <c r="J65" i="2"/>
  <c r="J25" i="2"/>
  <c r="J5" i="2"/>
  <c r="J74" i="2"/>
  <c r="J93" i="2"/>
  <c r="J73" i="2"/>
  <c r="J53" i="2"/>
  <c r="J33" i="2"/>
  <c r="J13" i="2"/>
  <c r="J69" i="2"/>
  <c r="J89" i="2"/>
  <c r="J59" i="2"/>
  <c r="J58" i="2"/>
  <c r="J19" i="2"/>
  <c r="J8" i="2"/>
  <c r="J15" i="2"/>
  <c r="J85" i="2"/>
  <c r="J45" i="2"/>
  <c r="J94" i="2"/>
  <c r="J84" i="2"/>
  <c r="J64" i="2"/>
  <c r="J54" i="2"/>
  <c r="J44" i="2"/>
  <c r="J34" i="2"/>
  <c r="J24" i="2"/>
  <c r="J14" i="2"/>
  <c r="J4" i="2"/>
  <c r="J79" i="2"/>
  <c r="J29" i="2"/>
  <c r="J78" i="2"/>
  <c r="J18" i="2"/>
  <c r="J39" i="2"/>
  <c r="D3" i="16" a="1"/>
  <c r="L3" i="15" a="1"/>
  <c r="H6" i="17" a="1"/>
  <c r="E55" i="16" l="1"/>
  <c r="G55" i="16" s="1"/>
  <c r="H55" i="16" s="1"/>
  <c r="E33" i="16"/>
  <c r="G33" i="16" s="1"/>
  <c r="H33" i="16" s="1"/>
  <c r="F48" i="16"/>
  <c r="E17" i="16"/>
  <c r="G17" i="16" s="1"/>
  <c r="H17" i="16" s="1"/>
  <c r="F36" i="16"/>
  <c r="E52" i="16"/>
  <c r="F66" i="16"/>
  <c r="F70" i="16"/>
  <c r="E84" i="16"/>
  <c r="G84" i="16" s="1"/>
  <c r="H84" i="16" s="1"/>
  <c r="F12" i="16"/>
  <c r="F17" i="16"/>
  <c r="F30" i="16"/>
  <c r="G30" i="16" s="1"/>
  <c r="H30" i="16" s="1"/>
  <c r="E49" i="16"/>
  <c r="G49" i="16" s="1"/>
  <c r="H49" i="16" s="1"/>
  <c r="E26" i="16"/>
  <c r="E47" i="16"/>
  <c r="F26" i="16"/>
  <c r="G26" i="16" s="1"/>
  <c r="H26" i="16" s="1"/>
  <c r="E91" i="16"/>
  <c r="G91" i="16" s="1"/>
  <c r="H91" i="16" s="1"/>
  <c r="F46" i="16"/>
  <c r="E22" i="16"/>
  <c r="G22" i="16" s="1"/>
  <c r="H22" i="16" s="1"/>
  <c r="F3" i="16"/>
  <c r="E75" i="16"/>
  <c r="G75" i="16" s="1"/>
  <c r="H75" i="16" s="1"/>
  <c r="E18" i="16"/>
  <c r="G18" i="16" s="1"/>
  <c r="H18" i="16" s="1"/>
  <c r="E100" i="16"/>
  <c r="G100" i="16" s="1"/>
  <c r="H100" i="16" s="1"/>
  <c r="E82" i="16"/>
  <c r="G82" i="16" s="1"/>
  <c r="H82" i="16" s="1"/>
  <c r="F71" i="16"/>
  <c r="E69" i="16"/>
  <c r="F62" i="16"/>
  <c r="E61" i="16"/>
  <c r="F97" i="16"/>
  <c r="E79" i="16"/>
  <c r="G79" i="16" s="1"/>
  <c r="H79" i="16" s="1"/>
  <c r="F7" i="16"/>
  <c r="F65" i="16"/>
  <c r="F96" i="16"/>
  <c r="E37" i="16"/>
  <c r="G37" i="16" s="1"/>
  <c r="H37" i="16" s="1"/>
  <c r="F75" i="16"/>
  <c r="F58" i="16"/>
  <c r="E28" i="16"/>
  <c r="G28" i="16" s="1"/>
  <c r="H28" i="16" s="1"/>
  <c r="E19" i="16"/>
  <c r="F47" i="16"/>
  <c r="E39" i="16"/>
  <c r="G39" i="16" s="1"/>
  <c r="H39" i="16" s="1"/>
  <c r="E32" i="16"/>
  <c r="G32" i="16" s="1"/>
  <c r="H32" i="16" s="1"/>
  <c r="E31" i="16"/>
  <c r="F44" i="16"/>
  <c r="F76" i="16"/>
  <c r="F86" i="16"/>
  <c r="F85" i="16"/>
  <c r="F20" i="16"/>
  <c r="F49" i="16"/>
  <c r="E89" i="16"/>
  <c r="G89" i="16" s="1"/>
  <c r="H89" i="16" s="1"/>
  <c r="E12" i="16"/>
  <c r="G12" i="16" s="1"/>
  <c r="H12" i="16" s="1"/>
  <c r="E54" i="16"/>
  <c r="F77" i="16"/>
  <c r="E42" i="16"/>
  <c r="F41" i="16"/>
  <c r="E90" i="16"/>
  <c r="F13" i="16"/>
  <c r="E63" i="16"/>
  <c r="E57" i="16"/>
  <c r="F34" i="16"/>
  <c r="E51" i="16"/>
  <c r="F22" i="16"/>
  <c r="E76" i="16"/>
  <c r="G76" i="16" s="1"/>
  <c r="H76" i="16" s="1"/>
  <c r="F4" i="16"/>
  <c r="E44" i="16"/>
  <c r="G44" i="16" s="1"/>
  <c r="H44" i="16" s="1"/>
  <c r="F81" i="16"/>
  <c r="F31" i="16"/>
  <c r="E64" i="16"/>
  <c r="G64" i="16" s="1"/>
  <c r="H64" i="16" s="1"/>
  <c r="E96" i="16"/>
  <c r="G96" i="16" s="1"/>
  <c r="H96" i="16" s="1"/>
  <c r="F14" i="16"/>
  <c r="E92" i="16"/>
  <c r="F24" i="16"/>
  <c r="F40" i="16"/>
  <c r="E41" i="16"/>
  <c r="G41" i="16" s="1"/>
  <c r="H41" i="16" s="1"/>
  <c r="F56" i="16"/>
  <c r="E27" i="16"/>
  <c r="E29" i="16"/>
  <c r="F29" i="16"/>
  <c r="F45" i="16"/>
  <c r="E46" i="16"/>
  <c r="G46" i="16" s="1"/>
  <c r="H46" i="16" s="1"/>
  <c r="F61" i="16"/>
  <c r="E67" i="16"/>
  <c r="F55" i="16"/>
  <c r="F27" i="16"/>
  <c r="F74" i="16"/>
  <c r="G74" i="16" s="1"/>
  <c r="H74" i="16" s="1"/>
  <c r="F92" i="16"/>
  <c r="E43" i="16"/>
  <c r="G43" i="16" s="1"/>
  <c r="H43" i="16" s="1"/>
  <c r="E40" i="16"/>
  <c r="G40" i="16" s="1"/>
  <c r="H40" i="16" s="1"/>
  <c r="F88" i="16"/>
  <c r="F23" i="16"/>
  <c r="F43" i="16"/>
  <c r="F98" i="16"/>
  <c r="E95" i="16"/>
  <c r="E85" i="16"/>
  <c r="G85" i="16" s="1"/>
  <c r="H85" i="16" s="1"/>
  <c r="E20" i="16"/>
  <c r="E53" i="16"/>
  <c r="G53" i="16" s="1"/>
  <c r="H53" i="16" s="1"/>
  <c r="F73" i="16"/>
  <c r="F8" i="16"/>
  <c r="F5" i="16"/>
  <c r="E50" i="16"/>
  <c r="E45" i="16"/>
  <c r="G45" i="16" s="1"/>
  <c r="H45" i="16" s="1"/>
  <c r="F93" i="16"/>
  <c r="E48" i="16"/>
  <c r="G48" i="16" s="1"/>
  <c r="H48" i="16" s="1"/>
  <c r="E65" i="16"/>
  <c r="G65" i="16" s="1"/>
  <c r="H65" i="16" s="1"/>
  <c r="E98" i="16"/>
  <c r="G98" i="16" s="1"/>
  <c r="H98" i="16" s="1"/>
  <c r="E78" i="16"/>
  <c r="G78" i="16" s="1"/>
  <c r="H78" i="16" s="1"/>
  <c r="F33" i="16"/>
  <c r="F38" i="16"/>
  <c r="E38" i="16"/>
  <c r="G38" i="16" s="1"/>
  <c r="H38" i="16" s="1"/>
  <c r="E35" i="16"/>
  <c r="F28" i="16"/>
  <c r="F19" i="16"/>
  <c r="G19" i="16" s="1"/>
  <c r="H19" i="16" s="1"/>
  <c r="F67" i="16"/>
  <c r="F80" i="16"/>
  <c r="F90" i="16"/>
  <c r="G90" i="16" s="1"/>
  <c r="H90" i="16" s="1"/>
  <c r="F95" i="16"/>
  <c r="G95" i="16" s="1"/>
  <c r="H95" i="16" s="1"/>
  <c r="E11" i="16"/>
  <c r="G11" i="16" s="1"/>
  <c r="H11" i="16" s="1"/>
  <c r="F57" i="16"/>
  <c r="E97" i="16"/>
  <c r="G97" i="16" s="1"/>
  <c r="H97" i="16" s="1"/>
  <c r="F54" i="16"/>
  <c r="G54" i="16" s="1"/>
  <c r="H54" i="16" s="1"/>
  <c r="E87" i="16"/>
  <c r="G87" i="16" s="1"/>
  <c r="H87" i="16" s="1"/>
  <c r="E99" i="16"/>
  <c r="G99" i="16" s="1"/>
  <c r="H99" i="16" s="1"/>
  <c r="F102" i="16"/>
  <c r="E77" i="16"/>
  <c r="G77" i="16" s="1"/>
  <c r="H77" i="16" s="1"/>
  <c r="F69" i="16"/>
  <c r="F79" i="16"/>
  <c r="E102" i="16"/>
  <c r="G102" i="16" s="1"/>
  <c r="H102" i="16" s="1"/>
  <c r="F25" i="16"/>
  <c r="E34" i="16"/>
  <c r="G34" i="16" s="1"/>
  <c r="H34" i="16" s="1"/>
  <c r="E56" i="16"/>
  <c r="G56" i="16" s="1"/>
  <c r="H56" i="16" s="1"/>
  <c r="E72" i="16"/>
  <c r="G72" i="16" s="1"/>
  <c r="H72" i="16" s="1"/>
  <c r="F60" i="16"/>
  <c r="E59" i="16"/>
  <c r="G59" i="16" s="1"/>
  <c r="H59" i="16" s="1"/>
  <c r="E94" i="16"/>
  <c r="E66" i="16"/>
  <c r="G66" i="16" s="1"/>
  <c r="H66" i="16" s="1"/>
  <c r="F72" i="16"/>
  <c r="E6" i="16"/>
  <c r="G6" i="16" s="1"/>
  <c r="H6" i="16" s="1"/>
  <c r="F9" i="16"/>
  <c r="G9" i="16" s="1"/>
  <c r="H9" i="16" s="1"/>
  <c r="F42" i="16"/>
  <c r="E25" i="16"/>
  <c r="G25" i="16" s="1"/>
  <c r="H25" i="16" s="1"/>
  <c r="F6" i="16"/>
  <c r="E58" i="16"/>
  <c r="E88" i="16"/>
  <c r="G88" i="16" s="1"/>
  <c r="H88" i="16" s="1"/>
  <c r="E23" i="16"/>
  <c r="G23" i="16" s="1"/>
  <c r="H23" i="16" s="1"/>
  <c r="E73" i="16"/>
  <c r="E93" i="16"/>
  <c r="G93" i="16" s="1"/>
  <c r="H93" i="16" s="1"/>
  <c r="F53" i="16"/>
  <c r="F83" i="16"/>
  <c r="F18" i="16"/>
  <c r="F11" i="16"/>
  <c r="E5" i="16"/>
  <c r="G5" i="16" s="1"/>
  <c r="H5" i="16" s="1"/>
  <c r="E83" i="16"/>
  <c r="G83" i="16" s="1"/>
  <c r="H83" i="16" s="1"/>
  <c r="F15" i="16"/>
  <c r="E8" i="16"/>
  <c r="G8" i="16" s="1"/>
  <c r="H8" i="16" s="1"/>
  <c r="E80" i="16"/>
  <c r="G80" i="16" s="1"/>
  <c r="H80" i="16" s="1"/>
  <c r="F16" i="16"/>
  <c r="E15" i="16"/>
  <c r="G15" i="16" s="1"/>
  <c r="H15" i="16" s="1"/>
  <c r="E13" i="16"/>
  <c r="G13" i="16" s="1"/>
  <c r="H13" i="16" s="1"/>
  <c r="F78" i="16"/>
  <c r="E60" i="16"/>
  <c r="G60" i="16" s="1"/>
  <c r="H60" i="16" s="1"/>
  <c r="F63" i="16"/>
  <c r="E70" i="16"/>
  <c r="F10" i="16"/>
  <c r="F68" i="16"/>
  <c r="E10" i="16"/>
  <c r="G10" i="16" s="1"/>
  <c r="H10" i="16" s="1"/>
  <c r="E68" i="16"/>
  <c r="G68" i="16" s="1"/>
  <c r="H68" i="16" s="1"/>
  <c r="E30" i="16"/>
  <c r="F52" i="16"/>
  <c r="F35" i="16"/>
  <c r="E36" i="16"/>
  <c r="G36" i="16" s="1"/>
  <c r="H36" i="16" s="1"/>
  <c r="F51" i="16"/>
  <c r="F59" i="16"/>
  <c r="E86" i="16"/>
  <c r="F21" i="16"/>
  <c r="E9" i="16"/>
  <c r="E24" i="16"/>
  <c r="E71" i="16"/>
  <c r="G71" i="16" s="1"/>
  <c r="H71" i="16" s="1"/>
  <c r="F91" i="16"/>
  <c r="E7" i="16"/>
  <c r="G7" i="16" s="1"/>
  <c r="H7" i="16" s="1"/>
  <c r="F89" i="16"/>
  <c r="E21" i="16"/>
  <c r="G21" i="16" s="1"/>
  <c r="H21" i="16" s="1"/>
  <c r="F32" i="16"/>
  <c r="E62" i="16"/>
  <c r="G62" i="16" s="1"/>
  <c r="H62" i="16" s="1"/>
  <c r="E81" i="16"/>
  <c r="G81" i="16" s="1"/>
  <c r="H81" i="16" s="1"/>
  <c r="E74" i="16"/>
  <c r="E101" i="16"/>
  <c r="G101" i="16" s="1"/>
  <c r="H101" i="16" s="1"/>
  <c r="E16" i="16"/>
  <c r="G16" i="16" s="1"/>
  <c r="H16" i="16" s="1"/>
  <c r="E4" i="16"/>
  <c r="G4" i="16" s="1"/>
  <c r="H4" i="16" s="1"/>
  <c r="E14" i="16"/>
  <c r="G14" i="16" s="1"/>
  <c r="H14" i="16" s="1"/>
  <c r="F50" i="16"/>
  <c r="F39" i="16"/>
  <c r="F101" i="16"/>
  <c r="F82" i="16"/>
  <c r="F64" i="16"/>
  <c r="F100" i="16"/>
  <c r="F37" i="16"/>
  <c r="F94" i="16"/>
  <c r="F84" i="16"/>
  <c r="F99" i="16"/>
  <c r="F87" i="16"/>
  <c r="E3" i="16"/>
  <c r="G3" i="16" s="1"/>
  <c r="H3" i="16" s="1"/>
  <c r="P3" i="15" a="1"/>
  <c r="P13" i="15" a="1"/>
  <c r="H2" i="5"/>
  <c r="I2" i="5" s="1" a="1"/>
  <c r="H3" i="5" s="1" a="1"/>
  <c r="J3" i="5" s="1"/>
  <c r="E44" i="2"/>
  <c r="E101" i="2"/>
  <c r="E88" i="2"/>
  <c r="E13" i="2"/>
  <c r="E51" i="2"/>
  <c r="E74" i="2"/>
  <c r="E77" i="2"/>
  <c r="E58" i="2"/>
  <c r="E39" i="2"/>
  <c r="E82" i="2"/>
  <c r="E83" i="2"/>
  <c r="E84" i="2"/>
  <c r="E67" i="2"/>
  <c r="E48" i="2"/>
  <c r="E49" i="2"/>
  <c r="E90" i="2"/>
  <c r="E22" i="2"/>
  <c r="E18" i="2"/>
  <c r="E98" i="2"/>
  <c r="E99" i="2"/>
  <c r="E23" i="2"/>
  <c r="E65" i="2"/>
  <c r="E21" i="2"/>
  <c r="E4" i="2"/>
  <c r="E35" i="2"/>
  <c r="E30" i="2"/>
  <c r="E72" i="2"/>
  <c r="E96" i="2"/>
  <c r="E38" i="2"/>
  <c r="E19" i="2"/>
  <c r="E81" i="2"/>
  <c r="E63" i="2"/>
  <c r="E73" i="2"/>
  <c r="E5" i="2"/>
  <c r="E64" i="2"/>
  <c r="E45" i="2"/>
  <c r="E85" i="2"/>
  <c r="E14" i="2"/>
  <c r="E95" i="2"/>
  <c r="E6" i="2"/>
  <c r="E26" i="2"/>
  <c r="E66" i="2"/>
  <c r="E53" i="2"/>
  <c r="E75" i="2"/>
  <c r="E7" i="2"/>
  <c r="E47" i="2"/>
  <c r="E33" i="2"/>
  <c r="E55" i="2"/>
  <c r="E41" i="2"/>
  <c r="E8" i="2"/>
  <c r="E94" i="2"/>
  <c r="E102" i="2"/>
  <c r="E29" i="2"/>
  <c r="E89" i="2"/>
  <c r="E80" i="2"/>
  <c r="E10" i="2"/>
  <c r="E70" i="2"/>
  <c r="E31" i="2"/>
  <c r="E91" i="2"/>
  <c r="E32" i="2"/>
  <c r="E92" i="2"/>
  <c r="E60" i="2"/>
  <c r="E36" i="2"/>
  <c r="E56" i="2"/>
  <c r="E17" i="2"/>
  <c r="E97" i="2"/>
  <c r="E59" i="2"/>
  <c r="E25" i="2"/>
  <c r="E24" i="2"/>
  <c r="E42" i="2"/>
  <c r="E46" i="2"/>
  <c r="E86" i="2"/>
  <c r="E34" i="2"/>
  <c r="E100" i="2"/>
  <c r="E27" i="2"/>
  <c r="E87" i="2"/>
  <c r="E40" i="2"/>
  <c r="E62" i="2"/>
  <c r="E28" i="2"/>
  <c r="E68" i="2"/>
  <c r="E20" i="2"/>
  <c r="E9" i="2"/>
  <c r="E69" i="2"/>
  <c r="E54" i="2"/>
  <c r="E61" i="2"/>
  <c r="E50" i="2"/>
  <c r="E11" i="2"/>
  <c r="E71" i="2"/>
  <c r="E12" i="2"/>
  <c r="E52" i="2"/>
  <c r="E93" i="2"/>
  <c r="E16" i="2"/>
  <c r="E76" i="2"/>
  <c r="E37" i="2"/>
  <c r="E57" i="2"/>
  <c r="E78" i="2"/>
  <c r="E79" i="2"/>
  <c r="E43" i="2"/>
  <c r="E15" i="2"/>
  <c r="F6" i="18" a="1"/>
  <c r="G6" i="18" a="1"/>
  <c r="J6" i="18" a="1"/>
  <c r="N6" i="18" a="1"/>
  <c r="K6" i="18" a="1"/>
  <c r="L6" i="18" a="1"/>
  <c r="M6" i="18" a="1"/>
  <c r="O6" i="18" a="1"/>
  <c r="H6" i="18" a="1"/>
  <c r="I6" i="18" a="1"/>
  <c r="F5" i="18" a="1"/>
  <c r="L5" i="18" a="1"/>
  <c r="K5" i="18" a="1"/>
  <c r="I5" i="18" a="1"/>
  <c r="N5" i="18" a="1"/>
  <c r="J5" i="18" a="1"/>
  <c r="G5" i="18" a="1"/>
  <c r="H5" i="18" a="1"/>
  <c r="O5" i="18" a="1"/>
  <c r="M5" i="18" a="1"/>
  <c r="F4" i="18" a="1"/>
  <c r="O4" i="18" a="1"/>
  <c r="L4" i="18" a="1"/>
  <c r="J4" i="18" a="1"/>
  <c r="M4" i="18" a="1"/>
  <c r="K4" i="18" a="1"/>
  <c r="G4" i="18" a="1"/>
  <c r="H4" i="18" a="1"/>
  <c r="I4" i="18" a="1"/>
  <c r="N4" i="18" a="1"/>
  <c r="J3" i="18" a="1"/>
  <c r="G3" i="18" a="1"/>
  <c r="L3" i="18" a="1"/>
  <c r="M3" i="18" a="1"/>
  <c r="I3" i="18" a="1"/>
  <c r="H3" i="18" a="1"/>
  <c r="O3" i="18" a="1"/>
  <c r="K3" i="18" a="1"/>
  <c r="F3" i="18" a="1"/>
  <c r="N3" i="18" a="1"/>
  <c r="G2" i="18" a="1"/>
  <c r="M2" i="18" a="1"/>
  <c r="F2" i="18" a="1"/>
  <c r="I2" i="18" a="1"/>
  <c r="N2" i="18" a="1"/>
  <c r="O2" i="18" a="1"/>
  <c r="K2" i="18" a="1"/>
  <c r="J2" i="18" a="1"/>
  <c r="H2" i="18" a="1"/>
  <c r="L2" i="18" a="1"/>
  <c r="J20" i="5"/>
  <c r="J40" i="5"/>
  <c r="J60" i="5"/>
  <c r="J80" i="5"/>
  <c r="J100" i="5"/>
  <c r="J21" i="5"/>
  <c r="J41" i="5"/>
  <c r="J61" i="5"/>
  <c r="J81" i="5"/>
  <c r="J101" i="5"/>
  <c r="J22" i="5"/>
  <c r="J42" i="5"/>
  <c r="J62" i="5"/>
  <c r="J82" i="5"/>
  <c r="J102" i="5"/>
  <c r="J23" i="5"/>
  <c r="J43" i="5"/>
  <c r="J63" i="5"/>
  <c r="J83" i="5"/>
  <c r="J4" i="5"/>
  <c r="J24" i="5"/>
  <c r="J44" i="5"/>
  <c r="J64" i="5"/>
  <c r="J84" i="5"/>
  <c r="J5" i="5"/>
  <c r="J25" i="5"/>
  <c r="J45" i="5"/>
  <c r="J65" i="5"/>
  <c r="J85" i="5"/>
  <c r="J6" i="5"/>
  <c r="J26" i="5"/>
  <c r="J46" i="5"/>
  <c r="J66" i="5"/>
  <c r="J86" i="5"/>
  <c r="J27" i="5"/>
  <c r="J47" i="5"/>
  <c r="J67" i="5"/>
  <c r="J87" i="5"/>
  <c r="J8" i="5"/>
  <c r="J28" i="5"/>
  <c r="J48" i="5"/>
  <c r="J68" i="5"/>
  <c r="J88" i="5"/>
  <c r="J9" i="5"/>
  <c r="J29" i="5"/>
  <c r="J49" i="5"/>
  <c r="J69" i="5"/>
  <c r="J89" i="5"/>
  <c r="J10" i="5"/>
  <c r="J30" i="5"/>
  <c r="J50" i="5"/>
  <c r="J70" i="5"/>
  <c r="J90" i="5"/>
  <c r="J11" i="5"/>
  <c r="J31" i="5"/>
  <c r="J51" i="5"/>
  <c r="J71" i="5"/>
  <c r="J91" i="5"/>
  <c r="J78" i="5"/>
  <c r="J39" i="5"/>
  <c r="J7" i="5"/>
  <c r="J12" i="5"/>
  <c r="J32" i="5"/>
  <c r="J52" i="5"/>
  <c r="J72" i="5"/>
  <c r="J92" i="5"/>
  <c r="J13" i="5"/>
  <c r="J33" i="5"/>
  <c r="J53" i="5"/>
  <c r="J73" i="5"/>
  <c r="J93" i="5"/>
  <c r="J14" i="5"/>
  <c r="J34" i="5"/>
  <c r="J54" i="5"/>
  <c r="J74" i="5"/>
  <c r="J94" i="5"/>
  <c r="J15" i="5"/>
  <c r="J35" i="5"/>
  <c r="J55" i="5"/>
  <c r="J75" i="5"/>
  <c r="J95" i="5"/>
  <c r="J16" i="5"/>
  <c r="J36" i="5"/>
  <c r="J56" i="5"/>
  <c r="J76" i="5"/>
  <c r="J96" i="5"/>
  <c r="J17" i="5"/>
  <c r="J37" i="5"/>
  <c r="J57" i="5"/>
  <c r="J77" i="5"/>
  <c r="J97" i="5"/>
  <c r="J18" i="5"/>
  <c r="J38" i="5"/>
  <c r="J58" i="5"/>
  <c r="J98" i="5"/>
  <c r="J19" i="5"/>
  <c r="J59" i="5"/>
  <c r="J79" i="5"/>
  <c r="J99" i="5"/>
  <c r="G52" i="16" l="1"/>
  <c r="H52" i="16" s="1"/>
  <c r="G61" i="16"/>
  <c r="H61" i="16" s="1"/>
  <c r="G63" i="16"/>
  <c r="H63" i="16" s="1"/>
  <c r="G27" i="16"/>
  <c r="H27" i="16" s="1"/>
  <c r="G67" i="16"/>
  <c r="H67" i="16" s="1"/>
  <c r="G42" i="16"/>
  <c r="H42" i="16" s="1"/>
  <c r="G58" i="16"/>
  <c r="H58" i="16" s="1"/>
  <c r="G73" i="16"/>
  <c r="H73" i="16" s="1"/>
  <c r="G35" i="16"/>
  <c r="H35" i="16" s="1"/>
  <c r="G51" i="16"/>
  <c r="H51" i="16" s="1"/>
  <c r="G86" i="16"/>
  <c r="H86" i="16" s="1"/>
  <c r="G24" i="16"/>
  <c r="H24" i="16" s="1"/>
  <c r="G50" i="16"/>
  <c r="H50" i="16" s="1"/>
  <c r="G94" i="16"/>
  <c r="H94" i="16" s="1"/>
  <c r="G70" i="16"/>
  <c r="H70" i="16" s="1"/>
  <c r="G47" i="16"/>
  <c r="H47" i="16" s="1"/>
  <c r="G69" i="16"/>
  <c r="H69" i="16" s="1"/>
  <c r="G31" i="16"/>
  <c r="H31" i="16" s="1"/>
  <c r="G20" i="16"/>
  <c r="H20" i="16" s="1"/>
  <c r="G57" i="16"/>
  <c r="H57" i="16" s="1"/>
  <c r="G29" i="16"/>
  <c r="H29" i="16" s="1"/>
  <c r="G92" i="16"/>
  <c r="H92" i="1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<sst xmlns="http://schemas.openxmlformats.org/spreadsheetml/2006/main" count="1163" uniqueCount="279">
  <si>
    <t>This</t>
  </si>
  <si>
    <t>is</t>
  </si>
  <si>
    <t>a</t>
  </si>
  <si>
    <t>test</t>
  </si>
  <si>
    <t>of</t>
  </si>
  <si>
    <t>string</t>
  </si>
  <si>
    <t>vector</t>
  </si>
  <si>
    <t>Test2</t>
  </si>
  <si>
    <t>second</t>
  </si>
  <si>
    <t>ls()</t>
  </si>
  <si>
    <t>Test3</t>
  </si>
  <si>
    <t>-1.2563-0.5202i</t>
  </si>
  <si>
    <t>0.2585+0.5388i</t>
  </si>
  <si>
    <t>2.2038+0.2251i</t>
  </si>
  <si>
    <t>-0.0479-1.5559i</t>
  </si>
  <si>
    <t>-2.2372-0.2356i</t>
  </si>
  <si>
    <t>-0.0241+1.109i</t>
  </si>
  <si>
    <t>-1.8789-0.1614i</t>
  </si>
  <si>
    <t>-1.2418+0.7516i</t>
  </si>
  <si>
    <t>0.2613-1.4068i</t>
  </si>
  <si>
    <t>-0.8173-0.6248i</t>
  </si>
  <si>
    <t>-1.4888+0.7522i</t>
  </si>
  <si>
    <t>1.2095-0.0963i</t>
  </si>
  <si>
    <t>1.1444+1.6305i</t>
  </si>
  <si>
    <t>-0.8963-1.1458i</t>
  </si>
  <si>
    <t>-0.6666+0.9317i</t>
  </si>
  <si>
    <t>0.0737-0.3638i</t>
  </si>
  <si>
    <t>0.0479-0.8809i</t>
  </si>
  <si>
    <t>2.1492-1.3009i</t>
  </si>
  <si>
    <t>-2.1591-0.3447i</t>
  </si>
  <si>
    <t>-0.9527+1.302i</t>
  </si>
  <si>
    <t>1.468+0.0683i</t>
  </si>
  <si>
    <t>0.0278-0.8678i</t>
  </si>
  <si>
    <t>-1.7741+2.0993i</t>
  </si>
  <si>
    <t>0.8819+0.9358i</t>
  </si>
  <si>
    <t>1.2302+2.8333i</t>
  </si>
  <si>
    <t>0.4947-1.0908i</t>
  </si>
  <si>
    <t>0.8487-0.1868i</t>
  </si>
  <si>
    <t>-0.6397-1.3941i</t>
  </si>
  <si>
    <t>1.4814+0.3112i</t>
  </si>
  <si>
    <t>0.26-1.7434i</t>
  </si>
  <si>
    <t>-1.0053+1.0441i</t>
  </si>
  <si>
    <t>-0.3108-0.6501i</t>
  </si>
  <si>
    <t>0.3123-0.4418i</t>
  </si>
  <si>
    <t>-0.1293-0.3922i</t>
  </si>
  <si>
    <t>-0.8427-0.4312i</t>
  </si>
  <si>
    <t>0.1966+0.5741i</t>
  </si>
  <si>
    <t>-0.9327+0.3093i</t>
  </si>
  <si>
    <t>0.7895-0.6358i</t>
  </si>
  <si>
    <t>-1.9551+1.4153i</t>
  </si>
  <si>
    <t>-0.0948-2.0597i</t>
  </si>
  <si>
    <t>-0.9299+0.5952i</t>
  </si>
  <si>
    <t>0.7226-0.4205i</t>
  </si>
  <si>
    <t>-0.5406+0.8506i</t>
  </si>
  <si>
    <t>0.8403-0.9707i</t>
  </si>
  <si>
    <t>0.8709+1.7384i</t>
  </si>
  <si>
    <t>-0.3143+0.1584i</t>
  </si>
  <si>
    <t>-1.9728+0.0534i</t>
  </si>
  <si>
    <t>-1.0251+0.2071i</t>
  </si>
  <si>
    <t>-0.6672+1.1205i</t>
  </si>
  <si>
    <t>-2.0193-0.9767i</t>
  </si>
  <si>
    <t>-2.6996-0.1482i</t>
  </si>
  <si>
    <t>-0.5771-1.08i</t>
  </si>
  <si>
    <t>0.711+0.4801i</t>
  </si>
  <si>
    <t>0.2256+0.6934i</t>
  </si>
  <si>
    <t>-1.4705+3.0298i</t>
  </si>
  <si>
    <t>1.1694+0.7855i</t>
  </si>
  <si>
    <t>0.5571-0.7615i</t>
  </si>
  <si>
    <t>1.0063-1.6597i</t>
  </si>
  <si>
    <t>0.3729+0.3992i</t>
  </si>
  <si>
    <t>-1.1835-0.003i</t>
  </si>
  <si>
    <t>-0.9322-1.5266i</t>
  </si>
  <si>
    <t>-1.3561-1.4099i</t>
  </si>
  <si>
    <t>0.9078-0.513i</t>
  </si>
  <si>
    <t>0.4918+1.3229i</t>
  </si>
  <si>
    <t>-0.3563-0.2943i</t>
  </si>
  <si>
    <t>1.0148-1.5089i</t>
  </si>
  <si>
    <t>0.2973+0.2467i</t>
  </si>
  <si>
    <t>-0.9604+1.8648i</t>
  </si>
  <si>
    <t>0.8622+0.5147i</t>
  </si>
  <si>
    <t>0.4149-0.4273i</t>
  </si>
  <si>
    <t>0.5554+0.9426i</t>
  </si>
  <si>
    <t>-0.1264+0.4562i</t>
  </si>
  <si>
    <t>-0.3199+1.5328i</t>
  </si>
  <si>
    <t>-0.1588+0.3588i</t>
  </si>
  <si>
    <t>2.8068+0.0835i</t>
  </si>
  <si>
    <t>0.8926+1.686i</t>
  </si>
  <si>
    <t>0.5333-0.1033i</t>
  </si>
  <si>
    <t>-0.1618+0.3656i</t>
  </si>
  <si>
    <t>1.793-0.2256i</t>
  </si>
  <si>
    <t>-0.6866-0.2752i</t>
  </si>
  <si>
    <t>-1.7713-0.7292i</t>
  </si>
  <si>
    <t>-0.5022-0.243i</t>
  </si>
  <si>
    <t>-0.1208+0.3021i</t>
  </si>
  <si>
    <t>0.8011+0.0821i</t>
  </si>
  <si>
    <t>0.0996-1.205i</t>
  </si>
  <si>
    <t>0.6309+0.8347i</t>
  </si>
  <si>
    <t>0.3651-1.4693i</t>
  </si>
  <si>
    <t>3.2628-0.0169i</t>
  </si>
  <si>
    <t>-1.0142-1.2826i</t>
  </si>
  <si>
    <t>-0.7134+0.5035i</t>
  </si>
  <si>
    <t>1.834+0.9008i</t>
  </si>
  <si>
    <t>-1.3643-0.0496i</t>
  </si>
  <si>
    <t>-0.4128+0.9118i</t>
  </si>
  <si>
    <t>-0.8485-0.8267i</t>
  </si>
  <si>
    <t>0.023+1.5727i</t>
  </si>
  <si>
    <t>1.5119-1.5758i</t>
  </si>
  <si>
    <t>-1.2321-0.0369i</t>
  </si>
  <si>
    <t>-1.4651-0.5745i</t>
  </si>
  <si>
    <t>-0.5813-1.3526i</t>
  </si>
  <si>
    <t>0.5641-0.5596i</t>
  </si>
  <si>
    <t>Real</t>
  </si>
  <si>
    <t>Imaginary</t>
  </si>
  <si>
    <t>intv2</t>
  </si>
  <si>
    <t>intv3 &lt;- intv1 + intv2</t>
  </si>
  <si>
    <t>logiv1</t>
  </si>
  <si>
    <t>this</t>
  </si>
  <si>
    <t>char</t>
  </si>
  <si>
    <t>matrix</t>
  </si>
  <si>
    <t>another</t>
  </si>
  <si>
    <t>A</t>
  </si>
  <si>
    <t>1+0i</t>
  </si>
  <si>
    <t>2+3i</t>
  </si>
  <si>
    <t>3+0i</t>
  </si>
  <si>
    <t>0+0i</t>
  </si>
  <si>
    <t>2+0i</t>
  </si>
  <si>
    <t>5+0i</t>
  </si>
  <si>
    <t>4+3i</t>
  </si>
  <si>
    <t>logim3 = logim1 + logim2</t>
  </si>
  <si>
    <t>studentBio &lt;- list(studentName = "Harry Potter", studentAge = 19, studentContact="London")</t>
  </si>
  <si>
    <t>class(studentBio) &lt;- "StudentInfo"</t>
  </si>
  <si>
    <t>studentBio</t>
  </si>
  <si>
    <t>class(studentBio)</t>
  </si>
  <si>
    <t>contact &lt;- function(object) {
UseMethod("contact")
}</t>
  </si>
  <si>
    <t>contact(studentBio)</t>
  </si>
  <si>
    <t>setClass("employee", slots=list(name="character", id="numeric", contact="character"))</t>
  </si>
  <si>
    <t>obj &lt;- new("employee",name="Steven", id=1002, contact="West Avenue")</t>
  </si>
  <si>
    <t>obj</t>
  </si>
  <si>
    <t>obj@name</t>
  </si>
  <si>
    <t>obj@id</t>
  </si>
  <si>
    <t>obj@contact</t>
  </si>
  <si>
    <t>obj@contact &lt;- "North Avenue"</t>
  </si>
  <si>
    <t>slot(obj,"id") &lt;- 1004</t>
  </si>
  <si>
    <t>setMethod('show', 'employee', 
     function(object) {
          matrix(c('Name', 'Id', 'Contact', object@name, object@id, object@contact), nrow=3)
     }
)</t>
  </si>
  <si>
    <t>show</t>
  </si>
  <si>
    <t>show_emp2 &lt;- function(object) { 
     matrix(c('Name', 'Id', 'Contact', object@name, object@id, object@contact), nrow=3)
}</t>
  </si>
  <si>
    <t>show_emp2(obj)</t>
  </si>
  <si>
    <t>show_emp2</t>
  </si>
  <si>
    <t>gender &lt;- c("Male","Female","Female","Male","Female")</t>
  </si>
  <si>
    <t>gender.factor &lt;- factor(gender)</t>
  </si>
  <si>
    <t>gender.factor</t>
  </si>
  <si>
    <t>str(gender.factor)</t>
  </si>
  <si>
    <t>pant &lt;- c("XL","L","XL","XXL","L","XL")</t>
  </si>
  <si>
    <t>pant.factor &lt;- factor(pant,ordered = TRUE,levels = c("L","XL","XXL"))</t>
  </si>
  <si>
    <t>pant.factor</t>
  </si>
  <si>
    <t>pant.factor[1] &gt; pant.factor[2]</t>
  </si>
  <si>
    <t>list_data1 &lt;- list("Red", "Green", c(21,32,11), TRUE, 51.23, 119.1)</t>
  </si>
  <si>
    <t>list_data2 &lt;- list(c("Jan","Feb","Mar"), matrix(c(3,9,5,1,-2,8), nrow = 2), list("green",12.3))</t>
  </si>
  <si>
    <t>names(list_data2) &lt;- c("1st Quarter", "A_Matrix", "A Inner list")</t>
  </si>
  <si>
    <t>list_data2[[1]]</t>
  </si>
  <si>
    <t>list_data2[[3]][[1]]</t>
  </si>
  <si>
    <t>list_data2$A_Matrix</t>
  </si>
  <si>
    <t>list_data2$'1st Quarter'</t>
  </si>
  <si>
    <t>list_data1[3]</t>
  </si>
  <si>
    <t>list_data1[[1]]</t>
  </si>
  <si>
    <t>list_data1[[2]]</t>
  </si>
  <si>
    <t>list_data1[[3]]</t>
  </si>
  <si>
    <t>mat1 &lt;- matrix(c(5,10,15,20,25,30,35,40,45), nrow = 3)</t>
  </si>
  <si>
    <t>mat2 &lt;- matrix(c(50,55,60,65,70,75,80,85,90), nrow = 3)</t>
  </si>
  <si>
    <t>add_output &lt;- mat1 + mat2</t>
  </si>
  <si>
    <t>add_output</t>
  </si>
  <si>
    <t>mat1[1,]</t>
  </si>
  <si>
    <t>mat1[,3]</t>
  </si>
  <si>
    <t>mat1[,4]</t>
  </si>
  <si>
    <t>sub_output &lt;- mat1 - mat2</t>
  </si>
  <si>
    <t>mat3&lt;- matrix(c(2,4,6,8,10,12), nrow = 3,ncol =2)</t>
  </si>
  <si>
    <t>mat3</t>
  </si>
  <si>
    <t>mat4 &lt;- matrix(c(14,16,18,20,22,24), nrow = 3,ncol=2)</t>
  </si>
  <si>
    <t>mat4</t>
  </si>
  <si>
    <t>final1 &lt;- mat3 * mat4</t>
  </si>
  <si>
    <t>final1</t>
  </si>
  <si>
    <t>final2 &lt;- mat3 / mat4</t>
  </si>
  <si>
    <t>final2</t>
  </si>
  <si>
    <t>z &lt;- complex(real = stats::rnorm(100), imaginary = stats::rnorm(100))</t>
  </si>
  <si>
    <t>Round</t>
  </si>
  <si>
    <t>library(complexplus)</t>
  </si>
  <si>
    <t>A &lt;- matrix(c(1, 2, 2+3i, 5), ncol = 2)</t>
  </si>
  <si>
    <t>B &lt;- matrix(1:4, ncol = 2)</t>
  </si>
  <si>
    <t>S &lt;- matrix(c(3, 4+3i, 0, 0), ncol = 2)</t>
  </si>
  <si>
    <t>Det(A)</t>
  </si>
  <si>
    <t>ch &lt;- matrix(c('This', 'is', 'a', 'test'), ncol=2)</t>
  </si>
  <si>
    <t>Dynamic Vector</t>
  </si>
  <si>
    <t>d = rnorm(10)</t>
  </si>
  <si>
    <t>Integer Vector</t>
  </si>
  <si>
    <t>i = c(1:10)</t>
  </si>
  <si>
    <t>Logical Vector</t>
  </si>
  <si>
    <t>l = c(FALSE, FALSE, TRUE, TRUE, FALSE)</t>
  </si>
  <si>
    <t>Complex Vector</t>
  </si>
  <si>
    <t>Character Vector</t>
  </si>
  <si>
    <t>c = c('this', 'is', 'a', 'test')</t>
  </si>
  <si>
    <t>basic_list = list("DynVec"=d, "IntVec"=I, "LogiVec"=l, "CplxVec"=z, "CharVec"=c)</t>
  </si>
  <si>
    <t>names(basic_list)</t>
  </si>
  <si>
    <t>seq(-5, 5, by=.2) -&gt; s3</t>
  </si>
  <si>
    <t>s3 &lt;- seq(-5, 5, by=.2)</t>
  </si>
  <si>
    <t>basic_list$DynVec</t>
  </si>
  <si>
    <t>basic_list[[1]]</t>
  </si>
  <si>
    <t>gender.factor2 &lt;- factor(gender,levels=c("Male","Female"))</t>
  </si>
  <si>
    <t>gender.factor2</t>
  </si>
  <si>
    <t>factor(gender,levels = c("Male","Female"),labels = c("Gen_Male","Gen_Female"))</t>
  </si>
  <si>
    <t>list_data2</t>
  </si>
  <si>
    <t>list_data1</t>
  </si>
  <si>
    <t>contact.StudentInfo &lt;- function(object) {
c("Your contact is", object$studentContact)
}</t>
  </si>
  <si>
    <t>mult &lt;- function(a, b) { return (a * b) }</t>
  </si>
  <si>
    <t>mult(1:10, 1:10)</t>
  </si>
  <si>
    <t>fn = mult</t>
  </si>
  <si>
    <t># Create Vectors</t>
  </si>
  <si>
    <t>id &lt;- c(10,11,12,13)</t>
  </si>
  <si>
    <t>name &lt;- c('sai','ram','deepika','sahithi')</t>
  </si>
  <si>
    <t>dob &lt;- as.Date(c('1990-10-02','1981-3-24','1987-6-14','1985-8-16'))</t>
  </si>
  <si>
    <t># Create DataFrame</t>
  </si>
  <si>
    <t>df &lt;- data.frame(id,name,dob)</t>
  </si>
  <si>
    <t># Print DataFrame</t>
  </si>
  <si>
    <t xml:space="preserve">df </t>
  </si>
  <si>
    <t>sapply(df, class)</t>
  </si>
  <si>
    <t>sapply(df, typeof)</t>
  </si>
  <si>
    <t>SalesPerson</t>
  </si>
  <si>
    <t>Geography</t>
  </si>
  <si>
    <t>Product</t>
  </si>
  <si>
    <t>Amount</t>
  </si>
  <si>
    <t>Units</t>
  </si>
  <si>
    <t>CostPerUnit</t>
  </si>
  <si>
    <t>Cost</t>
  </si>
  <si>
    <t>Ram Mahesh</t>
  </si>
  <si>
    <t>New Zealand</t>
  </si>
  <si>
    <t>70% Dark Bites</t>
  </si>
  <si>
    <t>Brien Boise</t>
  </si>
  <si>
    <t>USA</t>
  </si>
  <si>
    <t>Choco Coated Almonds</t>
  </si>
  <si>
    <t>Husein Augar</t>
  </si>
  <si>
    <t>Almond Choco</t>
  </si>
  <si>
    <t>Carla Molina</t>
  </si>
  <si>
    <t>Canada</t>
  </si>
  <si>
    <t>Drinking Coco</t>
  </si>
  <si>
    <t>Curtice Advani</t>
  </si>
  <si>
    <t>UK</t>
  </si>
  <si>
    <t>White Choc</t>
  </si>
  <si>
    <t>Peanut Butter Cubes</t>
  </si>
  <si>
    <t>Australia</t>
  </si>
  <si>
    <t>Smooth Sliky Salty</t>
  </si>
  <si>
    <t>After Nines</t>
  </si>
  <si>
    <t>Ches Bonnell</t>
  </si>
  <si>
    <t>50% Dark Bites</t>
  </si>
  <si>
    <t>Gigi Bohling</t>
  </si>
  <si>
    <t>Barr Faughny</t>
  </si>
  <si>
    <t>Gunar Cockshoot</t>
  </si>
  <si>
    <t>Eclairs</t>
  </si>
  <si>
    <t>Mint Chip Choco</t>
  </si>
  <si>
    <t>India</t>
  </si>
  <si>
    <t>Milk Bars</t>
  </si>
  <si>
    <t>Manuka Honey Choco</t>
  </si>
  <si>
    <t>Orange Choco</t>
  </si>
  <si>
    <t>Fruit &amp; Nut Bars</t>
  </si>
  <si>
    <t>Oby Sorrel</t>
  </si>
  <si>
    <t>99% Dark &amp; Pure</t>
  </si>
  <si>
    <t>Raspberry Choco</t>
  </si>
  <si>
    <t>85% Dark Bars</t>
  </si>
  <si>
    <t>Organic Choco Syrup</t>
  </si>
  <si>
    <t>Caramel Stuffed Bars</t>
  </si>
  <si>
    <t>Spicy Special Slims</t>
  </si>
  <si>
    <t>Baker's Choco Chips</t>
  </si>
  <si>
    <t>origin &lt;- "1970-01-01"</t>
  </si>
  <si>
    <t>dt_origin &lt;- as.Date(origin)</t>
  </si>
  <si>
    <t>birthdays &lt;- c("1963-02-12", "1968-07-13")</t>
  </si>
  <si>
    <t>birthday_dates &lt;- as.Date(birthdays)</t>
  </si>
  <si>
    <t>dt_origin_n &lt;- as.numeric(dt_origin)</t>
  </si>
  <si>
    <t>character</t>
  </si>
  <si>
    <t>integer</t>
  </si>
  <si>
    <t>numeric</t>
  </si>
  <si>
    <t>rep("A_",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</si>
</sst>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E+00"/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right"/>
    </xf>
    <xf numFmtId="0" fontId="0" fillId="2" borderId="0" xfId="0" applyFill="1"/>
    <xf numFmtId="164" fontId="0" fillId="0" borderId="0" xfId="0" applyNumberFormat="1" applyAlignment="1">
      <alignment horizontal="right"/>
    </xf>
    <xf numFmtId="164" fontId="0" fillId="0" borderId="0" xfId="0" applyNumberFormat="1"/>
    <xf numFmtId="14" fontId="0" fillId="0" borderId="0" xfId="0" applyNumberFormat="1"/>
    <xf numFmtId="15" fontId="0" fillId="0" borderId="0" xfId="0" applyNumberFormat="1"/>
    <xf numFmtId="1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A54358-C5CF-4F00-8B29-7F727B99A2D4}" name="TableSalesData" displayName="TableSalesData" ref="D27:J327" totalsRowShown="0">
  <autoFilter ref="D27:J327" xr:uid="{77A54358-C5CF-4F00-8B29-7F727B99A2D4}"/>
  <tableColumns count="7">
    <tableColumn id="1" xr3:uid="{8FEED991-512C-4E88-A3C7-496274ADBCA9}" name="SalesPerson"/>
    <tableColumn id="2" xr3:uid="{03FC848F-40D6-4E91-B259-4C70847AFC19}" name="Geography"/>
    <tableColumn id="3" xr3:uid="{3B531C8A-42F1-45FC-91EF-9438B2E1FEAE}" name="Product"/>
    <tableColumn id="4" xr3:uid="{0D404910-6078-4FE6-867A-5F144AFF1F9D}" name="Amount"/>
    <tableColumn id="5" xr3:uid="{EEDCCF41-931B-44D3-9F4C-644FB888BC40}" name="Units"/>
    <tableColumn id="6" xr3:uid="{9B4950B3-370E-4B22-BA7F-849F9BCC9364}" name="CostPerUnit"/>
    <tableColumn id="7" xr3:uid="{0FD37EC6-320F-41F5-AB9A-5A3277F9325F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obj@id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4907-4470-47D6-A7B9-4E3244CA648D}">
  <dimension ref="B1:Q60"/>
  <sheetViews>
    <sheetView workbookViewId="0">
      <selection activeCell="G16" sqref="G16"/>
    </sheetView>
  </sheetViews>
  <sheetFormatPr defaultRowHeight="14.4" x14ac:dyDescent="0.3"/>
  <cols>
    <col min="1" max="1" width="4.109375" customWidth="1"/>
    <col min="2" max="2" width="33.109375" customWidth="1"/>
    <col min="3" max="3" width="40.88671875" customWidth="1"/>
    <col min="4" max="4" width="17.33203125" customWidth="1"/>
    <col min="7" max="7" width="16.5546875" customWidth="1"/>
  </cols>
  <sheetData>
    <row r="1" spans="2:17" x14ac:dyDescent="0.3"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</row>
    <row r="2" spans="2:17" x14ac:dyDescent="0.3">
      <c r="B2" t="s">
        <v>191</v>
      </c>
      <c r="C2" t="s">
        <v>192</v>
      </c>
      <c r="E2" t="str" cm="1">
        <f t="array" ref="E2">_xll.RScript.Evaluate(C2)</f>
        <v>d</v>
      </c>
      <c r="F2" cm="1">
        <f t="array" ref="F2">_xll.RScript.Evaluate($E$2&amp;"["&amp;F1&amp;"]")</f>
        <v>1.3240337372279194</v>
      </c>
      <c r="G2" cm="1">
        <f t="array" ref="G2">_xll.RScript.Evaluate($E$2&amp;"["&amp;G1&amp;"]")</f>
        <v>1.0979278137623114</v>
      </c>
      <c r="H2" cm="1">
        <f t="array" ref="H2">_xll.RScript.Evaluate($E$2&amp;"["&amp;H1&amp;"]")</f>
        <v>2.7368080366415684</v>
      </c>
      <c r="I2" cm="1">
        <f t="array" ref="I2">_xll.RScript.Evaluate($E$2&amp;"["&amp;I1&amp;"]")</f>
        <v>-0.41720002480180213</v>
      </c>
      <c r="J2" cm="1">
        <f t="array" ref="J2">_xll.RScript.Evaluate($E$2&amp;"["&amp;J1&amp;"]")</f>
        <v>0.33620532746774823</v>
      </c>
      <c r="K2" cm="1">
        <f t="array" ref="K2">_xll.RScript.Evaluate($E$2&amp;"["&amp;K1&amp;"]")</f>
        <v>0.66450062094704399</v>
      </c>
      <c r="L2" cm="1">
        <f t="array" ref="L2">_xll.RScript.Evaluate($E$2&amp;"["&amp;L1&amp;"]")</f>
        <v>-0.56786204234787019</v>
      </c>
      <c r="M2" cm="1">
        <f t="array" ref="M2">_xll.RScript.Evaluate($E$2&amp;"["&amp;M1&amp;"]")</f>
        <v>-0.1504497188607187</v>
      </c>
      <c r="N2" cm="1">
        <f t="array" ref="N2">_xll.RScript.Evaluate($E$2&amp;"["&amp;N1&amp;"]")</f>
        <v>-0.86852408731795083</v>
      </c>
      <c r="O2" cm="1">
        <f t="array" ref="O2">_xll.RScript.Evaluate($E$2&amp;"["&amp;O1&amp;"]")</f>
        <v>1.2657178018493058</v>
      </c>
    </row>
    <row r="3" spans="2:17" x14ac:dyDescent="0.3">
      <c r="B3" t="s">
        <v>193</v>
      </c>
      <c r="C3" t="s">
        <v>194</v>
      </c>
      <c r="E3" t="str" cm="1">
        <f t="array" ref="E3">_xll.RScript.Evaluate(C3)</f>
        <v>i</v>
      </c>
      <c r="F3" cm="1">
        <f t="array" ref="F3">_xll.RScript.Evaluate($E$3&amp;"["&amp;F1&amp;"]")</f>
        <v>1</v>
      </c>
      <c r="G3" cm="1">
        <f t="array" ref="G3">_xll.RScript.Evaluate($E$3&amp;"["&amp;G1&amp;"]")</f>
        <v>2</v>
      </c>
      <c r="H3" cm="1">
        <f t="array" ref="H3">_xll.RScript.Evaluate($E$3&amp;"["&amp;H1&amp;"]")</f>
        <v>3</v>
      </c>
      <c r="I3" cm="1">
        <f t="array" ref="I3">_xll.RScript.Evaluate($E$3&amp;"["&amp;I1&amp;"]")</f>
        <v>4</v>
      </c>
      <c r="J3" cm="1">
        <f t="array" ref="J3">_xll.RScript.Evaluate($E$3&amp;"["&amp;J1&amp;"]")</f>
        <v>5</v>
      </c>
      <c r="K3" cm="1">
        <f t="array" ref="K3">_xll.RScript.Evaluate($E$3&amp;"["&amp;K1&amp;"]")</f>
        <v>6</v>
      </c>
      <c r="L3" cm="1">
        <f t="array" ref="L3">_xll.RScript.Evaluate($E$3&amp;"["&amp;L1&amp;"]")</f>
        <v>7</v>
      </c>
      <c r="M3" cm="1">
        <f t="array" ref="M3">_xll.RScript.Evaluate($E$3&amp;"["&amp;M1&amp;"]")</f>
        <v>8</v>
      </c>
      <c r="N3" cm="1">
        <f t="array" ref="N3">_xll.RScript.Evaluate($E$3&amp;"["&amp;N1&amp;"]")</f>
        <v>9</v>
      </c>
      <c r="O3" cm="1">
        <f t="array" ref="O3">_xll.RScript.Evaluate($E$3&amp;"["&amp;O1&amp;"]")</f>
        <v>10</v>
      </c>
    </row>
    <row r="4" spans="2:17" x14ac:dyDescent="0.3">
      <c r="B4" t="s">
        <v>195</v>
      </c>
      <c r="C4" t="s">
        <v>196</v>
      </c>
      <c r="E4" t="str" cm="1">
        <f t="array" ref="E4">_xll.RScript.Evaluate(C4)</f>
        <v>l</v>
      </c>
      <c r="F4" t="b" cm="1">
        <f t="array" ref="F4">_xll.RScript.Evaluate($E$4&amp;"["&amp;F1&amp;"]")</f>
        <v>0</v>
      </c>
      <c r="G4" t="b" cm="1">
        <f t="array" ref="G4">_xll.RScript.Evaluate($E$4&amp;"["&amp;G1&amp;"]")</f>
        <v>0</v>
      </c>
      <c r="H4" t="b" cm="1">
        <f t="array" ref="H4">_xll.RScript.Evaluate($E$4&amp;"["&amp;H1&amp;"]")</f>
        <v>1</v>
      </c>
      <c r="I4" t="b" cm="1">
        <f t="array" ref="I4">_xll.RScript.Evaluate($E$4&amp;"["&amp;I1&amp;"]")</f>
        <v>1</v>
      </c>
      <c r="J4" t="b" cm="1">
        <f t="array" ref="J4">_xll.RScript.Evaluate($E$4&amp;"["&amp;J1&amp;"]")</f>
        <v>0</v>
      </c>
      <c r="K4" t="b" cm="1">
        <f t="array" ref="K4">_xll.RScript.Evaluate($E$4&amp;"["&amp;K1&amp;"]")</f>
        <v>1</v>
      </c>
      <c r="L4" t="b" cm="1">
        <f t="array" ref="L4">_xll.RScript.Evaluate($E$4&amp;"["&amp;L1&amp;"]")</f>
        <v>1</v>
      </c>
      <c r="M4" t="b" cm="1">
        <f t="array" ref="M4">_xll.RScript.Evaluate($E$4&amp;"["&amp;M1&amp;"]")</f>
        <v>1</v>
      </c>
      <c r="N4" t="b" cm="1">
        <f t="array" ref="N4">_xll.RScript.Evaluate($E$4&amp;"["&amp;N1&amp;"]")</f>
        <v>1</v>
      </c>
      <c r="O4" t="b" cm="1">
        <f t="array" ref="O4">_xll.RScript.Evaluate($E$4&amp;"["&amp;O1&amp;"]")</f>
        <v>1</v>
      </c>
    </row>
    <row r="5" spans="2:17" x14ac:dyDescent="0.3">
      <c r="B5" t="s">
        <v>197</v>
      </c>
      <c r="C5" t="s">
        <v>183</v>
      </c>
      <c r="E5" t="str" cm="1">
        <f t="array" ref="E5">_xll.RScript.Evaluate(C5)</f>
        <v>z</v>
      </c>
      <c r="F5" t="str" cm="1">
        <f t="array" ref="F5">_xll.RScript.Evaluate($E$5&amp;"["&amp;F1&amp;"]")</f>
        <v>3.25462705829063-0.181058194366586i</v>
      </c>
      <c r="G5" t="str" cm="1">
        <f t="array" ref="G5">_xll.RScript.Evaluate($E$5&amp;"["&amp;G1&amp;"]")</f>
        <v>-1.50736642863886+1.35589028687698i</v>
      </c>
      <c r="H5" t="str" cm="1">
        <f t="array" ref="H5">_xll.RScript.Evaluate($E$5&amp;"["&amp;H1&amp;"]")</f>
        <v>-0.267373674323065+0.819701467499229i</v>
      </c>
      <c r="I5" t="str" cm="1">
        <f t="array" ref="I5">_xll.RScript.Evaluate($E$5&amp;"["&amp;I1&amp;"]")</f>
        <v>0.242643350255135-0.131267194697746i</v>
      </c>
      <c r="J5" t="str" cm="1">
        <f t="array" ref="J5">_xll.RScript.Evaluate($E$5&amp;"["&amp;J1&amp;"]")</f>
        <v>-0.380844163320368-0.526129040089019i</v>
      </c>
      <c r="K5" t="str" cm="1">
        <f t="array" ref="K5">_xll.RScript.Evaluate($E$5&amp;"["&amp;K1&amp;"]")</f>
        <v>0.55432038906876+1.25181114949516i</v>
      </c>
      <c r="L5" t="str" cm="1">
        <f t="array" ref="L5">_xll.RScript.Evaluate($E$5&amp;"["&amp;L1&amp;"]")</f>
        <v>0.292836431334466-1.73165165437344i</v>
      </c>
      <c r="M5" t="str" cm="1">
        <f t="array" ref="M5">_xll.RScript.Evaluate($E$5&amp;"["&amp;M1&amp;"]")</f>
        <v>0.935473000766626+0.56071701468096i</v>
      </c>
      <c r="N5" t="str" cm="1">
        <f t="array" ref="N5">_xll.RScript.Evaluate($E$5&amp;"["&amp;N1&amp;"]")</f>
        <v>1.09434151478318-0.25606965869265i</v>
      </c>
      <c r="O5" t="str" cm="1">
        <f t="array" ref="O5">_xll.RScript.Evaluate($E$5&amp;"["&amp;O1&amp;"]")</f>
        <v>0.575182889798066+2.04143436276556i</v>
      </c>
    </row>
    <row r="6" spans="2:17" x14ac:dyDescent="0.3">
      <c r="B6" t="s">
        <v>198</v>
      </c>
      <c r="C6" t="s">
        <v>199</v>
      </c>
      <c r="E6" t="str" cm="1">
        <f t="array" ref="E6">_xll.RScript.Evaluate(C6)</f>
        <v>c</v>
      </c>
      <c r="F6" t="str" cm="1">
        <f t="array" ref="F6">_xll.RScript.Evaluate($E$6&amp;"["&amp;F1&amp;"]")</f>
        <v>this</v>
      </c>
      <c r="G6" t="str" cm="1">
        <f t="array" ref="G6">_xll.RScript.Evaluate($E$6&amp;"["&amp;G1&amp;"]")</f>
        <v>is</v>
      </c>
      <c r="H6" t="str" cm="1">
        <f t="array" ref="H6">_xll.RScript.Evaluate($E$6&amp;"["&amp;H1&amp;"]")</f>
        <v>a</v>
      </c>
      <c r="I6" t="str" cm="1">
        <f t="array" ref="I6">_xll.RScript.Evaluate($E$6&amp;"["&amp;I1&amp;"]")</f>
        <v>test</v>
      </c>
      <c r="J6" cm="1">
        <f t="array" ref="J6">_xll.RScript.Evaluate($E$6&amp;"["&amp;J1&amp;"]")</f>
        <v>0</v>
      </c>
      <c r="K6" cm="1">
        <f t="array" ref="K6">_xll.RScript.Evaluate($E$6&amp;"["&amp;K1&amp;"]")</f>
        <v>0</v>
      </c>
      <c r="L6" cm="1">
        <f t="array" ref="L6">_xll.RScript.Evaluate($E$6&amp;"["&amp;L1&amp;"]")</f>
        <v>0</v>
      </c>
      <c r="M6" cm="1">
        <f t="array" ref="M6">_xll.RScript.Evaluate($E$6&amp;"["&amp;M1&amp;"]")</f>
        <v>0</v>
      </c>
      <c r="N6" cm="1">
        <f t="array" ref="N6">_xll.RScript.Evaluate($E$6&amp;"["&amp;N1&amp;"]")</f>
        <v>0</v>
      </c>
      <c r="O6" cm="1">
        <f t="array" ref="O6">_xll.RScript.Evaluate($E$6&amp;"["&amp;O1&amp;"]")</f>
        <v>0</v>
      </c>
    </row>
    <row r="8" spans="2:17" x14ac:dyDescent="0.3">
      <c r="B8" t="s">
        <v>200</v>
      </c>
      <c r="C8" t="str" cm="1">
        <f t="array" ref="C8">_xll.RScript.Evaluate(B8)</f>
        <v>basic_list</v>
      </c>
      <c r="D8" t="s">
        <v>201</v>
      </c>
      <c r="G8" t="str" cm="1">
        <f t="array" ref="G8:G12">_xll.RScript.Evaluate("names("&amp;C8&amp;")")</f>
        <v>DynVec</v>
      </c>
    </row>
    <row r="9" spans="2:17" x14ac:dyDescent="0.3">
      <c r="G9" t="str">
        <v>IntVec</v>
      </c>
    </row>
    <row r="10" spans="2:17" x14ac:dyDescent="0.3">
      <c r="B10" t="s">
        <v>202</v>
      </c>
      <c r="C10" t="str" cm="1">
        <f t="array" ref="C10">_xll.RScript.Evaluate(B10)</f>
        <v>s3</v>
      </c>
      <c r="D10" cm="1">
        <f t="array" ref="D10:D60">_xll.RScript.Evaluate(C10)</f>
        <v>-5</v>
      </c>
      <c r="G10" t="str">
        <v>LogiVec</v>
      </c>
    </row>
    <row r="11" spans="2:17" x14ac:dyDescent="0.3">
      <c r="B11" t="s">
        <v>203</v>
      </c>
      <c r="C11" t="str" cm="1">
        <f t="array" ref="C11">_xll.RScript.Evaluate(B11)</f>
        <v>s3</v>
      </c>
      <c r="D11">
        <v>-4.8</v>
      </c>
      <c r="G11" t="str">
        <v>CplxVec</v>
      </c>
    </row>
    <row r="12" spans="2:17" x14ac:dyDescent="0.3">
      <c r="D12">
        <v>-4.5999999999999996</v>
      </c>
      <c r="G12" t="str">
        <v>CharVec</v>
      </c>
    </row>
    <row r="13" spans="2:17" x14ac:dyDescent="0.3">
      <c r="B13" t="s">
        <v>278</v>
      </c>
      <c r="D13">
        <v>-4.4000000000000004</v>
      </c>
    </row>
    <row r="14" spans="2:17" x14ac:dyDescent="0.3">
      <c r="D14">
        <v>-4.2</v>
      </c>
    </row>
    <row r="15" spans="2:17" x14ac:dyDescent="0.3">
      <c r="D15">
        <v>-4</v>
      </c>
      <c r="G15" t="s">
        <v>204</v>
      </c>
      <c r="H15" cm="1">
        <f t="array" ref="H15:Q15">TRANSPOSE(_xll.RScript.Evaluate(G15))</f>
        <v>1.3240337372279194</v>
      </c>
      <c r="I15">
        <v>1.0979278137623114</v>
      </c>
      <c r="J15">
        <v>2.7368080366415684</v>
      </c>
      <c r="K15">
        <v>-0.41720002480180213</v>
      </c>
      <c r="L15">
        <v>0.33620532746774823</v>
      </c>
      <c r="M15">
        <v>0.66450062094704399</v>
      </c>
      <c r="N15">
        <v>-0.56786204234787019</v>
      </c>
      <c r="O15">
        <v>-0.1504497188607187</v>
      </c>
      <c r="P15">
        <v>-0.86852408731795083</v>
      </c>
      <c r="Q15">
        <v>1.2657178018493058</v>
      </c>
    </row>
    <row r="16" spans="2:17" x14ac:dyDescent="0.3">
      <c r="D16">
        <v>-3.8</v>
      </c>
      <c r="G16" t="s">
        <v>205</v>
      </c>
      <c r="H16" cm="1">
        <f t="array" ref="H16:Q16">TRANSPOSE(_xll.RScript.Evaluate(G16))</f>
        <v>1.3240337372279194</v>
      </c>
      <c r="I16">
        <v>1.0979278137623114</v>
      </c>
      <c r="J16">
        <v>2.7368080366415684</v>
      </c>
      <c r="K16">
        <v>-0.41720002480180213</v>
      </c>
      <c r="L16">
        <v>0.33620532746774823</v>
      </c>
      <c r="M16">
        <v>0.66450062094704399</v>
      </c>
      <c r="N16">
        <v>-0.56786204234787019</v>
      </c>
      <c r="O16">
        <v>-0.1504497188607187</v>
      </c>
      <c r="P16">
        <v>-0.86852408731795083</v>
      </c>
      <c r="Q16">
        <v>1.2657178018493058</v>
      </c>
    </row>
    <row r="17" spans="4:4" x14ac:dyDescent="0.3">
      <c r="D17">
        <v>-3.5999999999999996</v>
      </c>
    </row>
    <row r="18" spans="4:4" x14ac:dyDescent="0.3">
      <c r="D18">
        <v>-3.4</v>
      </c>
    </row>
    <row r="19" spans="4:4" x14ac:dyDescent="0.3">
      <c r="D19">
        <v>-3.2</v>
      </c>
    </row>
    <row r="20" spans="4:4" x14ac:dyDescent="0.3">
      <c r="D20">
        <v>-3</v>
      </c>
    </row>
    <row r="21" spans="4:4" x14ac:dyDescent="0.3">
      <c r="D21">
        <v>-2.8</v>
      </c>
    </row>
    <row r="22" spans="4:4" x14ac:dyDescent="0.3">
      <c r="D22">
        <v>-2.5999999999999996</v>
      </c>
    </row>
    <row r="23" spans="4:4" x14ac:dyDescent="0.3">
      <c r="D23">
        <v>-2.4</v>
      </c>
    </row>
    <row r="24" spans="4:4" x14ac:dyDescent="0.3">
      <c r="D24">
        <v>-2.1999999999999997</v>
      </c>
    </row>
    <row r="25" spans="4:4" x14ac:dyDescent="0.3">
      <c r="D25">
        <v>-2</v>
      </c>
    </row>
    <row r="26" spans="4:4" x14ac:dyDescent="0.3">
      <c r="D26">
        <v>-1.7999999999999998</v>
      </c>
    </row>
    <row r="27" spans="4:4" x14ac:dyDescent="0.3">
      <c r="D27">
        <v>-1.5999999999999996</v>
      </c>
    </row>
    <row r="28" spans="4:4" x14ac:dyDescent="0.3">
      <c r="D28">
        <v>-1.4</v>
      </c>
    </row>
    <row r="29" spans="4:4" x14ac:dyDescent="0.3">
      <c r="D29">
        <v>-1.1999999999999997</v>
      </c>
    </row>
    <row r="30" spans="4:4" x14ac:dyDescent="0.3">
      <c r="D30">
        <v>-1</v>
      </c>
    </row>
    <row r="31" spans="4:4" x14ac:dyDescent="0.3">
      <c r="D31">
        <v>-0.79999999999999982</v>
      </c>
    </row>
    <row r="32" spans="4:4" x14ac:dyDescent="0.3">
      <c r="D32">
        <v>-0.59999999999999964</v>
      </c>
    </row>
    <row r="33" spans="4:4" x14ac:dyDescent="0.3">
      <c r="D33">
        <v>-0.39999999999999947</v>
      </c>
    </row>
    <row r="34" spans="4:4" x14ac:dyDescent="0.3">
      <c r="D34">
        <v>-0.19999999999999929</v>
      </c>
    </row>
    <row r="35" spans="4:4" x14ac:dyDescent="0.3">
      <c r="D35">
        <v>0</v>
      </c>
    </row>
    <row r="36" spans="4:4" x14ac:dyDescent="0.3">
      <c r="D36">
        <v>0.20000000000000018</v>
      </c>
    </row>
    <row r="37" spans="4:4" x14ac:dyDescent="0.3">
      <c r="D37">
        <v>0.40000000000000036</v>
      </c>
    </row>
    <row r="38" spans="4:4" x14ac:dyDescent="0.3">
      <c r="D38">
        <v>0.60000000000000053</v>
      </c>
    </row>
    <row r="39" spans="4:4" x14ac:dyDescent="0.3">
      <c r="D39">
        <v>0.80000000000000071</v>
      </c>
    </row>
    <row r="40" spans="4:4" x14ac:dyDescent="0.3">
      <c r="D40">
        <v>1</v>
      </c>
    </row>
    <row r="41" spans="4:4" x14ac:dyDescent="0.3">
      <c r="D41">
        <v>1.2000000000000002</v>
      </c>
    </row>
    <row r="42" spans="4:4" x14ac:dyDescent="0.3">
      <c r="D42">
        <v>1.4000000000000004</v>
      </c>
    </row>
    <row r="43" spans="4:4" x14ac:dyDescent="0.3">
      <c r="D43">
        <v>1.6000000000000005</v>
      </c>
    </row>
    <row r="44" spans="4:4" x14ac:dyDescent="0.3">
      <c r="D44">
        <v>1.8000000000000007</v>
      </c>
    </row>
    <row r="45" spans="4:4" x14ac:dyDescent="0.3">
      <c r="D45">
        <v>2</v>
      </c>
    </row>
    <row r="46" spans="4:4" x14ac:dyDescent="0.3">
      <c r="D46">
        <v>2.2000000000000002</v>
      </c>
    </row>
    <row r="47" spans="4:4" x14ac:dyDescent="0.3">
      <c r="D47">
        <v>2.4000000000000004</v>
      </c>
    </row>
    <row r="48" spans="4:4" x14ac:dyDescent="0.3">
      <c r="D48">
        <v>2.6000000000000005</v>
      </c>
    </row>
    <row r="49" spans="4:4" x14ac:dyDescent="0.3">
      <c r="D49">
        <v>2.8000000000000007</v>
      </c>
    </row>
    <row r="50" spans="4:4" x14ac:dyDescent="0.3">
      <c r="D50">
        <v>3</v>
      </c>
    </row>
    <row r="51" spans="4:4" x14ac:dyDescent="0.3">
      <c r="D51">
        <v>3.2000000000000011</v>
      </c>
    </row>
    <row r="52" spans="4:4" x14ac:dyDescent="0.3">
      <c r="D52">
        <v>3.4000000000000004</v>
      </c>
    </row>
    <row r="53" spans="4:4" x14ac:dyDescent="0.3">
      <c r="D53">
        <v>3.5999999999999996</v>
      </c>
    </row>
    <row r="54" spans="4:4" x14ac:dyDescent="0.3">
      <c r="D54">
        <v>3.8000000000000007</v>
      </c>
    </row>
    <row r="55" spans="4:4" x14ac:dyDescent="0.3">
      <c r="D55">
        <v>4</v>
      </c>
    </row>
    <row r="56" spans="4:4" x14ac:dyDescent="0.3">
      <c r="D56">
        <v>4.2000000000000011</v>
      </c>
    </row>
    <row r="57" spans="4:4" x14ac:dyDescent="0.3">
      <c r="D57">
        <v>4.4000000000000004</v>
      </c>
    </row>
    <row r="58" spans="4:4" x14ac:dyDescent="0.3">
      <c r="D58">
        <v>4.6000000000000014</v>
      </c>
    </row>
    <row r="59" spans="4:4" x14ac:dyDescent="0.3">
      <c r="D59">
        <v>4.8000000000000007</v>
      </c>
    </row>
    <row r="60" spans="4:4" x14ac:dyDescent="0.3">
      <c r="D6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2F83-1560-4AED-90F0-05DDB4F8EAE1}">
  <dimension ref="D2:P23"/>
  <sheetViews>
    <sheetView workbookViewId="0">
      <selection activeCell="H24" sqref="H24"/>
    </sheetView>
  </sheetViews>
  <sheetFormatPr defaultRowHeight="14.4" x14ac:dyDescent="0.3"/>
  <sheetData>
    <row r="2" spans="4:16" x14ac:dyDescent="0.3">
      <c r="D2" t="str" cm="1">
        <f t="array" ref="D2">_xll.RScript.CreateVector("Test2",D3:D11, "Character")</f>
        <v>Test2</v>
      </c>
      <c r="F2" t="s">
        <v>10</v>
      </c>
      <c r="G2" t="str" cm="1">
        <f t="array" ref="G2">_xll.RScript.CreateVector(F2, F3:F10, "Character")</f>
        <v>Test3</v>
      </c>
    </row>
    <row r="3" spans="4:16" x14ac:dyDescent="0.3">
      <c r="D3" t="s">
        <v>0</v>
      </c>
      <c r="F3">
        <v>1</v>
      </c>
    </row>
    <row r="4" spans="4:16" x14ac:dyDescent="0.3">
      <c r="D4" t="s">
        <v>1</v>
      </c>
      <c r="F4">
        <v>2</v>
      </c>
    </row>
    <row r="5" spans="4:16" x14ac:dyDescent="0.3">
      <c r="D5" t="s">
        <v>2</v>
      </c>
      <c r="F5">
        <v>3</v>
      </c>
    </row>
    <row r="6" spans="4:16" x14ac:dyDescent="0.3">
      <c r="D6" t="s">
        <v>8</v>
      </c>
      <c r="F6">
        <v>4</v>
      </c>
    </row>
    <row r="7" spans="4:16" x14ac:dyDescent="0.3">
      <c r="D7" t="s">
        <v>3</v>
      </c>
      <c r="F7">
        <v>5</v>
      </c>
    </row>
    <row r="8" spans="4:16" x14ac:dyDescent="0.3">
      <c r="D8" t="s">
        <v>4</v>
      </c>
      <c r="F8">
        <v>6</v>
      </c>
    </row>
    <row r="9" spans="4:16" x14ac:dyDescent="0.3">
      <c r="D9" t="s">
        <v>2</v>
      </c>
      <c r="F9">
        <v>7</v>
      </c>
    </row>
    <row r="10" spans="4:16" x14ac:dyDescent="0.3">
      <c r="D10" t="s">
        <v>5</v>
      </c>
      <c r="F10">
        <v>8</v>
      </c>
    </row>
    <row r="11" spans="4:16" x14ac:dyDescent="0.3">
      <c r="D11" t="s">
        <v>6</v>
      </c>
      <c r="G11" t="s">
        <v>7</v>
      </c>
      <c r="H11" t="str" cm="1">
        <f t="array" ref="H11:P11">TRANSPOSE(_xll.RScript.Evaluate(G11))</f>
        <v>This</v>
      </c>
      <c r="I11" t="str">
        <v>is</v>
      </c>
      <c r="J11" t="str">
        <v>a</v>
      </c>
      <c r="K11" t="str">
        <v>second</v>
      </c>
      <c r="L11" t="str">
        <v>test</v>
      </c>
      <c r="M11" t="str">
        <v>of</v>
      </c>
      <c r="N11" t="str">
        <v>a</v>
      </c>
      <c r="O11" t="str">
        <v>string</v>
      </c>
      <c r="P11" t="str">
        <v>vector</v>
      </c>
    </row>
    <row r="12" spans="4:16" x14ac:dyDescent="0.3">
      <c r="G12" t="s">
        <v>10</v>
      </c>
      <c r="H12" t="str" cm="1">
        <f t="array" ref="H12:O12">TRANSPOSE(_xll.RScript.Evaluate(G12))</f>
        <v>1</v>
      </c>
      <c r="I12" t="str">
        <v>2</v>
      </c>
      <c r="J12" t="str">
        <v>3</v>
      </c>
      <c r="K12" t="str">
        <v>4</v>
      </c>
      <c r="L12" t="str">
        <v>5</v>
      </c>
      <c r="M12" t="str">
        <v>6</v>
      </c>
      <c r="N12" t="str">
        <v>7</v>
      </c>
      <c r="O12" t="str">
        <v>8</v>
      </c>
    </row>
    <row r="14" spans="4:16" x14ac:dyDescent="0.3">
      <c r="D14" t="s">
        <v>7</v>
      </c>
    </row>
    <row r="15" spans="4:16" x14ac:dyDescent="0.3">
      <c r="D15" t="str" cm="1">
        <f t="array" ref="D15:D23">_xll.RScript.Evaluate(D14)</f>
        <v>This</v>
      </c>
      <c r="G15" t="s">
        <v>9</v>
      </c>
      <c r="H15" t="str" cm="1">
        <f t="array" ref="H15:H23">_xll.RScript.Evaluate(G15)</f>
        <v>basic_list</v>
      </c>
    </row>
    <row r="16" spans="4:16" x14ac:dyDescent="0.3">
      <c r="D16" t="str">
        <v>is</v>
      </c>
      <c r="H16" t="str">
        <v>c</v>
      </c>
    </row>
    <row r="17" spans="4:8" x14ac:dyDescent="0.3">
      <c r="D17" t="str">
        <v>a</v>
      </c>
      <c r="H17" t="str">
        <v>d</v>
      </c>
    </row>
    <row r="18" spans="4:8" x14ac:dyDescent="0.3">
      <c r="D18" t="str">
        <v>second</v>
      </c>
      <c r="H18" t="str">
        <v>i</v>
      </c>
    </row>
    <row r="19" spans="4:8" x14ac:dyDescent="0.3">
      <c r="D19" t="str">
        <v>test</v>
      </c>
      <c r="H19" t="str">
        <v>l</v>
      </c>
    </row>
    <row r="20" spans="4:8" x14ac:dyDescent="0.3">
      <c r="D20" t="str">
        <v>of</v>
      </c>
      <c r="H20" t="str">
        <v>s3</v>
      </c>
    </row>
    <row r="21" spans="4:8" x14ac:dyDescent="0.3">
      <c r="D21" t="str">
        <v>a</v>
      </c>
      <c r="H21" t="str">
        <v>Test2</v>
      </c>
    </row>
    <row r="22" spans="4:8" x14ac:dyDescent="0.3">
      <c r="D22" t="str">
        <v>string</v>
      </c>
      <c r="H22" t="str">
        <v>Test3</v>
      </c>
    </row>
    <row r="23" spans="4:8" x14ac:dyDescent="0.3">
      <c r="D23" t="str">
        <v>vector</v>
      </c>
      <c r="H23" t="str">
        <v>z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A425-1B3A-48E4-81F6-708C847B230F}">
  <dimension ref="C1:N102"/>
  <sheetViews>
    <sheetView workbookViewId="0">
      <selection activeCell="F3" sqref="F3"/>
    </sheetView>
  </sheetViews>
  <sheetFormatPr defaultRowHeight="14.4" x14ac:dyDescent="0.3"/>
  <cols>
    <col min="3" max="5" width="18.6640625" customWidth="1"/>
    <col min="10" max="10" width="14" bestFit="1" customWidth="1"/>
  </cols>
  <sheetData>
    <row r="1" spans="3:14" x14ac:dyDescent="0.3">
      <c r="D1" s="1"/>
    </row>
    <row r="2" spans="3:14" x14ac:dyDescent="0.3">
      <c r="C2" t="str" cm="1">
        <f t="array" ref="C2">_xll.RScript.CreateVector("vcplx1", C3:C102)</f>
        <v>vcplx1</v>
      </c>
      <c r="G2" t="s">
        <v>111</v>
      </c>
      <c r="H2" t="s">
        <v>112</v>
      </c>
      <c r="J2" t="str" cm="1">
        <f t="array" ref="J2">_xll.RScript.CreateVector("vcplx2", J3:J102, "Complex")</f>
        <v>vcplx2</v>
      </c>
    </row>
    <row r="3" spans="3:14" x14ac:dyDescent="0.3">
      <c r="C3" s="1" t="s">
        <v>11</v>
      </c>
      <c r="D3" s="1" t="str" cm="1">
        <f t="array" ref="D3:D102">_xll.RScript.Evaluate(C2)</f>
        <v>-1.2563-0.5202i</v>
      </c>
      <c r="E3" s="1" t="str">
        <f>IMSUB(C3,D3)</f>
        <v>0</v>
      </c>
      <c r="G3">
        <f>IMREAL(C3)</f>
        <v>-1.2563</v>
      </c>
      <c r="H3">
        <f>IMAGINARY(C3)</f>
        <v>-0.5202</v>
      </c>
      <c r="J3" t="str">
        <f>COMPLEX(G3,H3)</f>
        <v>-1.2563-0.5202i</v>
      </c>
      <c r="L3" s="1"/>
      <c r="N3" s="1"/>
    </row>
    <row r="4" spans="3:14" x14ac:dyDescent="0.3">
      <c r="C4" s="1" t="s">
        <v>12</v>
      </c>
      <c r="D4" s="1" t="str">
        <v>0.2585+0.5388i</v>
      </c>
      <c r="E4" s="1" t="str">
        <f t="shared" ref="E4:E67" si="0">IMSUB(C4,D4)</f>
        <v>0</v>
      </c>
      <c r="G4">
        <f t="shared" ref="G4:G34" si="1">IMREAL(C4)</f>
        <v>0.25850000000000001</v>
      </c>
      <c r="H4">
        <f t="shared" ref="H4:H34" si="2">IMAGINARY(C4)</f>
        <v>0.53879999999999995</v>
      </c>
      <c r="J4" t="str">
        <f t="shared" ref="J4:J67" si="3">COMPLEX(G4,H4)</f>
        <v>0.2585+0.5388i</v>
      </c>
    </row>
    <row r="5" spans="3:14" x14ac:dyDescent="0.3">
      <c r="C5" s="1" t="s">
        <v>13</v>
      </c>
      <c r="D5" s="1" t="str">
        <v>2.2038+0.2251i</v>
      </c>
      <c r="E5" s="1" t="str">
        <f t="shared" si="0"/>
        <v>0</v>
      </c>
      <c r="G5">
        <f t="shared" si="1"/>
        <v>2.2038000000000002</v>
      </c>
      <c r="H5">
        <f t="shared" si="2"/>
        <v>0.22509999999999999</v>
      </c>
      <c r="J5" t="str">
        <f t="shared" si="3"/>
        <v>2.2038+0.2251i</v>
      </c>
    </row>
    <row r="6" spans="3:14" x14ac:dyDescent="0.3">
      <c r="C6" s="1" t="s">
        <v>14</v>
      </c>
      <c r="D6" s="1" t="str">
        <v>-0.0479-1.5559i</v>
      </c>
      <c r="E6" s="1" t="str">
        <f t="shared" si="0"/>
        <v>0</v>
      </c>
      <c r="G6">
        <f t="shared" si="1"/>
        <v>-4.7899999999999998E-2</v>
      </c>
      <c r="H6">
        <f t="shared" si="2"/>
        <v>-1.5559000000000001</v>
      </c>
      <c r="J6" t="str">
        <f t="shared" si="3"/>
        <v>-0.0479-1.5559i</v>
      </c>
    </row>
    <row r="7" spans="3:14" x14ac:dyDescent="0.3">
      <c r="C7" s="1" t="s">
        <v>15</v>
      </c>
      <c r="D7" s="1" t="str">
        <v>-2.2372-0.2356i</v>
      </c>
      <c r="E7" s="1" t="str">
        <f t="shared" si="0"/>
        <v>0</v>
      </c>
      <c r="G7">
        <f t="shared" si="1"/>
        <v>-2.2372000000000001</v>
      </c>
      <c r="H7">
        <f t="shared" si="2"/>
        <v>-0.2356</v>
      </c>
      <c r="J7" t="str">
        <f t="shared" si="3"/>
        <v>-2.2372-0.2356i</v>
      </c>
    </row>
    <row r="8" spans="3:14" x14ac:dyDescent="0.3">
      <c r="C8" s="1" t="s">
        <v>16</v>
      </c>
      <c r="D8" s="1" t="str">
        <v>-0.0241+1.109i</v>
      </c>
      <c r="E8" s="1" t="str">
        <f t="shared" si="0"/>
        <v>0</v>
      </c>
      <c r="G8">
        <f t="shared" si="1"/>
        <v>-2.41E-2</v>
      </c>
      <c r="H8">
        <f t="shared" si="2"/>
        <v>1.109</v>
      </c>
      <c r="J8" t="str">
        <f t="shared" si="3"/>
        <v>-0.0241+1.109i</v>
      </c>
    </row>
    <row r="9" spans="3:14" x14ac:dyDescent="0.3">
      <c r="C9" s="1" t="s">
        <v>17</v>
      </c>
      <c r="D9" s="1" t="str">
        <v>-1.8789-0.1614i</v>
      </c>
      <c r="E9" s="1" t="str">
        <f t="shared" si="0"/>
        <v>0</v>
      </c>
      <c r="G9">
        <f t="shared" si="1"/>
        <v>-1.8789</v>
      </c>
      <c r="H9">
        <f t="shared" si="2"/>
        <v>-0.16139999999999999</v>
      </c>
      <c r="J9" t="str">
        <f t="shared" si="3"/>
        <v>-1.8789-0.1614i</v>
      </c>
    </row>
    <row r="10" spans="3:14" x14ac:dyDescent="0.3">
      <c r="C10" s="1" t="s">
        <v>18</v>
      </c>
      <c r="D10" s="1" t="str">
        <v>-1.2418+0.7516i</v>
      </c>
      <c r="E10" s="1" t="str">
        <f t="shared" si="0"/>
        <v>0</v>
      </c>
      <c r="G10">
        <f t="shared" si="1"/>
        <v>-1.2418</v>
      </c>
      <c r="H10">
        <f t="shared" si="2"/>
        <v>0.75160000000000005</v>
      </c>
      <c r="J10" t="str">
        <f t="shared" si="3"/>
        <v>-1.2418+0.7516i</v>
      </c>
    </row>
    <row r="11" spans="3:14" x14ac:dyDescent="0.3">
      <c r="C11" s="1" t="s">
        <v>19</v>
      </c>
      <c r="D11" s="1" t="str">
        <v>0.2613-1.4068i</v>
      </c>
      <c r="E11" s="1" t="str">
        <f t="shared" si="0"/>
        <v>0</v>
      </c>
      <c r="G11">
        <f t="shared" si="1"/>
        <v>0.26129999999999998</v>
      </c>
      <c r="H11">
        <f t="shared" si="2"/>
        <v>-1.4068000000000001</v>
      </c>
      <c r="J11" t="str">
        <f t="shared" si="3"/>
        <v>0.2613-1.4068i</v>
      </c>
    </row>
    <row r="12" spans="3:14" x14ac:dyDescent="0.3">
      <c r="C12" s="1" t="s">
        <v>20</v>
      </c>
      <c r="D12" s="1" t="str">
        <v>-0.8173-0.6248i</v>
      </c>
      <c r="E12" s="1" t="str">
        <f t="shared" si="0"/>
        <v>0</v>
      </c>
      <c r="G12">
        <f t="shared" si="1"/>
        <v>-0.81730000000000003</v>
      </c>
      <c r="H12">
        <f t="shared" si="2"/>
        <v>-0.62480000000000002</v>
      </c>
      <c r="J12" t="str">
        <f t="shared" si="3"/>
        <v>-0.8173-0.6248i</v>
      </c>
    </row>
    <row r="13" spans="3:14" x14ac:dyDescent="0.3">
      <c r="C13" s="1" t="s">
        <v>21</v>
      </c>
      <c r="D13" s="1" t="str">
        <v>-1.4888+0.7522i</v>
      </c>
      <c r="E13" s="1" t="str">
        <f t="shared" si="0"/>
        <v>0</v>
      </c>
      <c r="G13">
        <f t="shared" si="1"/>
        <v>-1.4887999999999999</v>
      </c>
      <c r="H13">
        <f t="shared" si="2"/>
        <v>0.75219999999999998</v>
      </c>
      <c r="J13" t="str">
        <f t="shared" si="3"/>
        <v>-1.4888+0.7522i</v>
      </c>
    </row>
    <row r="14" spans="3:14" x14ac:dyDescent="0.3">
      <c r="C14" s="1" t="s">
        <v>22</v>
      </c>
      <c r="D14" s="1" t="str">
        <v>1.2095-0.0963i</v>
      </c>
      <c r="E14" s="1" t="str">
        <f t="shared" si="0"/>
        <v>0</v>
      </c>
      <c r="G14">
        <f t="shared" si="1"/>
        <v>1.2095</v>
      </c>
      <c r="H14">
        <f t="shared" si="2"/>
        <v>-9.6299999999999997E-2</v>
      </c>
      <c r="J14" t="str">
        <f t="shared" si="3"/>
        <v>1.2095-0.0963i</v>
      </c>
    </row>
    <row r="15" spans="3:14" x14ac:dyDescent="0.3">
      <c r="C15" s="1" t="s">
        <v>23</v>
      </c>
      <c r="D15" s="1" t="str">
        <v>1.1444+1.6305i</v>
      </c>
      <c r="E15" s="1" t="str">
        <f t="shared" si="0"/>
        <v>0</v>
      </c>
      <c r="G15">
        <f t="shared" si="1"/>
        <v>1.1444000000000001</v>
      </c>
      <c r="H15">
        <f t="shared" si="2"/>
        <v>1.6305000000000001</v>
      </c>
      <c r="J15" t="str">
        <f t="shared" si="3"/>
        <v>1.1444+1.6305i</v>
      </c>
    </row>
    <row r="16" spans="3:14" x14ac:dyDescent="0.3">
      <c r="C16" s="1" t="s">
        <v>24</v>
      </c>
      <c r="D16" s="1" t="str">
        <v>-0.8963-1.1458i</v>
      </c>
      <c r="E16" s="1" t="str">
        <f t="shared" si="0"/>
        <v>0</v>
      </c>
      <c r="G16">
        <f t="shared" si="1"/>
        <v>-0.89629999999999999</v>
      </c>
      <c r="H16">
        <f t="shared" si="2"/>
        <v>-1.1457999999999999</v>
      </c>
      <c r="J16" t="str">
        <f t="shared" si="3"/>
        <v>-0.8963-1.1458i</v>
      </c>
    </row>
    <row r="17" spans="3:10" x14ac:dyDescent="0.3">
      <c r="C17" s="1" t="s">
        <v>25</v>
      </c>
      <c r="D17" s="1" t="str">
        <v>-0.6666+0.9317i</v>
      </c>
      <c r="E17" s="1" t="str">
        <f t="shared" si="0"/>
        <v>0</v>
      </c>
      <c r="G17">
        <f t="shared" si="1"/>
        <v>-0.66659999999999997</v>
      </c>
      <c r="H17">
        <f t="shared" si="2"/>
        <v>0.93169999999999997</v>
      </c>
      <c r="J17" t="str">
        <f t="shared" si="3"/>
        <v>-0.6666+0.9317i</v>
      </c>
    </row>
    <row r="18" spans="3:10" x14ac:dyDescent="0.3">
      <c r="C18" s="1" t="s">
        <v>26</v>
      </c>
      <c r="D18" s="1" t="str">
        <v>0.0737-0.3638i</v>
      </c>
      <c r="E18" s="1" t="str">
        <f t="shared" si="0"/>
        <v>0</v>
      </c>
      <c r="G18">
        <f t="shared" si="1"/>
        <v>7.3700000000000002E-2</v>
      </c>
      <c r="H18">
        <f t="shared" si="2"/>
        <v>-0.36380000000000001</v>
      </c>
      <c r="J18" t="str">
        <f t="shared" si="3"/>
        <v>0.0737-0.3638i</v>
      </c>
    </row>
    <row r="19" spans="3:10" x14ac:dyDescent="0.3">
      <c r="C19" s="1" t="s">
        <v>27</v>
      </c>
      <c r="D19" s="1" t="str">
        <v>0.0479-0.8809i</v>
      </c>
      <c r="E19" s="1" t="str">
        <f t="shared" si="0"/>
        <v>0</v>
      </c>
      <c r="G19">
        <f t="shared" si="1"/>
        <v>4.7899999999999998E-2</v>
      </c>
      <c r="H19">
        <f t="shared" si="2"/>
        <v>-0.88090000000000002</v>
      </c>
      <c r="J19" t="str">
        <f t="shared" si="3"/>
        <v>0.0479-0.8809i</v>
      </c>
    </row>
    <row r="20" spans="3:10" x14ac:dyDescent="0.3">
      <c r="C20" s="1" t="s">
        <v>28</v>
      </c>
      <c r="D20" s="1" t="str">
        <v>2.1492-1.3009i</v>
      </c>
      <c r="E20" s="1" t="str">
        <f t="shared" si="0"/>
        <v>0</v>
      </c>
      <c r="G20">
        <f t="shared" si="1"/>
        <v>2.1492</v>
      </c>
      <c r="H20">
        <f t="shared" si="2"/>
        <v>-1.3008999999999999</v>
      </c>
      <c r="J20" t="str">
        <f t="shared" si="3"/>
        <v>2.1492-1.3009i</v>
      </c>
    </row>
    <row r="21" spans="3:10" x14ac:dyDescent="0.3">
      <c r="C21" s="1" t="s">
        <v>29</v>
      </c>
      <c r="D21" s="1" t="str">
        <v>-2.1591-0.3447i</v>
      </c>
      <c r="E21" s="1" t="str">
        <f t="shared" si="0"/>
        <v>0</v>
      </c>
      <c r="G21">
        <f t="shared" si="1"/>
        <v>-2.1591</v>
      </c>
      <c r="H21">
        <f t="shared" si="2"/>
        <v>-0.34470000000000001</v>
      </c>
      <c r="J21" t="str">
        <f t="shared" si="3"/>
        <v>-2.1591-0.3447i</v>
      </c>
    </row>
    <row r="22" spans="3:10" x14ac:dyDescent="0.3">
      <c r="C22" s="1" t="s">
        <v>30</v>
      </c>
      <c r="D22" s="1" t="str">
        <v>-0.9527+1.302i</v>
      </c>
      <c r="E22" s="1" t="str">
        <f t="shared" si="0"/>
        <v>0</v>
      </c>
      <c r="G22">
        <f t="shared" si="1"/>
        <v>-0.95269999999999999</v>
      </c>
      <c r="H22">
        <f t="shared" si="2"/>
        <v>1.302</v>
      </c>
      <c r="J22" t="str">
        <f t="shared" si="3"/>
        <v>-0.9527+1.302i</v>
      </c>
    </row>
    <row r="23" spans="3:10" x14ac:dyDescent="0.3">
      <c r="C23" s="1" t="s">
        <v>31</v>
      </c>
      <c r="D23" s="1" t="str">
        <v>1.468+0.0683i</v>
      </c>
      <c r="E23" s="1" t="str">
        <f t="shared" si="0"/>
        <v>0</v>
      </c>
      <c r="G23">
        <f t="shared" si="1"/>
        <v>1.468</v>
      </c>
      <c r="H23">
        <f t="shared" si="2"/>
        <v>6.83E-2</v>
      </c>
      <c r="J23" t="str">
        <f t="shared" si="3"/>
        <v>1.468+0.0683i</v>
      </c>
    </row>
    <row r="24" spans="3:10" x14ac:dyDescent="0.3">
      <c r="C24" s="1" t="s">
        <v>32</v>
      </c>
      <c r="D24" s="1" t="str">
        <v>0.0278-0.8678i</v>
      </c>
      <c r="E24" s="1" t="str">
        <f t="shared" si="0"/>
        <v>0</v>
      </c>
      <c r="G24">
        <f t="shared" si="1"/>
        <v>2.7799999999999998E-2</v>
      </c>
      <c r="H24">
        <f t="shared" si="2"/>
        <v>-0.86780000000000002</v>
      </c>
      <c r="J24" t="str">
        <f t="shared" si="3"/>
        <v>0.0278-0.8678i</v>
      </c>
    </row>
    <row r="25" spans="3:10" x14ac:dyDescent="0.3">
      <c r="C25" s="1" t="s">
        <v>33</v>
      </c>
      <c r="D25" s="1" t="str">
        <v>-1.7741+2.0993i</v>
      </c>
      <c r="E25" s="1" t="str">
        <f t="shared" si="0"/>
        <v>0</v>
      </c>
      <c r="G25">
        <f t="shared" si="1"/>
        <v>-1.7741</v>
      </c>
      <c r="H25">
        <f t="shared" si="2"/>
        <v>2.0992999999999999</v>
      </c>
      <c r="J25" t="str">
        <f t="shared" si="3"/>
        <v>-1.7741+2.0993i</v>
      </c>
    </row>
    <row r="26" spans="3:10" x14ac:dyDescent="0.3">
      <c r="C26" s="1" t="s">
        <v>34</v>
      </c>
      <c r="D26" s="1" t="str">
        <v>0.8819+0.9358i</v>
      </c>
      <c r="E26" s="1" t="str">
        <f t="shared" si="0"/>
        <v>0</v>
      </c>
      <c r="G26">
        <f t="shared" si="1"/>
        <v>0.88190000000000002</v>
      </c>
      <c r="H26">
        <f t="shared" si="2"/>
        <v>0.93579999999999997</v>
      </c>
      <c r="J26" t="str">
        <f t="shared" si="3"/>
        <v>0.8819+0.9358i</v>
      </c>
    </row>
    <row r="27" spans="3:10" x14ac:dyDescent="0.3">
      <c r="C27" s="1" t="s">
        <v>35</v>
      </c>
      <c r="D27" s="1" t="str">
        <v>1.2302+2.8333i</v>
      </c>
      <c r="E27" s="1" t="str">
        <f t="shared" si="0"/>
        <v>0</v>
      </c>
      <c r="G27">
        <f t="shared" si="1"/>
        <v>1.2302</v>
      </c>
      <c r="H27">
        <f t="shared" si="2"/>
        <v>2.8332999999999999</v>
      </c>
      <c r="J27" t="str">
        <f t="shared" si="3"/>
        <v>1.2302+2.8333i</v>
      </c>
    </row>
    <row r="28" spans="3:10" x14ac:dyDescent="0.3">
      <c r="C28" s="1" t="s">
        <v>36</v>
      </c>
      <c r="D28" s="1" t="str">
        <v>0.4947-1.0908i</v>
      </c>
      <c r="E28" s="1" t="str">
        <f t="shared" si="0"/>
        <v>0</v>
      </c>
      <c r="G28">
        <f t="shared" si="1"/>
        <v>0.49469999999999997</v>
      </c>
      <c r="H28">
        <f t="shared" si="2"/>
        <v>-1.0908</v>
      </c>
      <c r="J28" t="str">
        <f t="shared" si="3"/>
        <v>0.4947-1.0908i</v>
      </c>
    </row>
    <row r="29" spans="3:10" x14ac:dyDescent="0.3">
      <c r="C29" s="1" t="s">
        <v>37</v>
      </c>
      <c r="D29" s="1" t="str">
        <v>0.8487-0.1868i</v>
      </c>
      <c r="E29" s="1" t="str">
        <f t="shared" si="0"/>
        <v>0</v>
      </c>
      <c r="G29">
        <f t="shared" si="1"/>
        <v>0.84870000000000001</v>
      </c>
      <c r="H29">
        <f t="shared" si="2"/>
        <v>-0.18679999999999999</v>
      </c>
      <c r="J29" t="str">
        <f t="shared" si="3"/>
        <v>0.8487-0.1868i</v>
      </c>
    </row>
    <row r="30" spans="3:10" x14ac:dyDescent="0.3">
      <c r="C30" s="1" t="s">
        <v>38</v>
      </c>
      <c r="D30" s="1" t="str">
        <v>-0.6397-1.3941i</v>
      </c>
      <c r="E30" s="1" t="str">
        <f t="shared" si="0"/>
        <v>0</v>
      </c>
      <c r="G30">
        <f t="shared" si="1"/>
        <v>-0.63970000000000005</v>
      </c>
      <c r="H30">
        <f t="shared" si="2"/>
        <v>-1.3940999999999999</v>
      </c>
      <c r="J30" t="str">
        <f t="shared" si="3"/>
        <v>-0.6397-1.3941i</v>
      </c>
    </row>
    <row r="31" spans="3:10" x14ac:dyDescent="0.3">
      <c r="C31" s="1" t="s">
        <v>39</v>
      </c>
      <c r="D31" s="1" t="str">
        <v>1.4814+0.3112i</v>
      </c>
      <c r="E31" s="1" t="str">
        <f t="shared" si="0"/>
        <v>0</v>
      </c>
      <c r="G31">
        <f t="shared" si="1"/>
        <v>1.4814000000000001</v>
      </c>
      <c r="H31">
        <f t="shared" si="2"/>
        <v>0.31119999999999998</v>
      </c>
      <c r="J31" t="str">
        <f t="shared" si="3"/>
        <v>1.4814+0.3112i</v>
      </c>
    </row>
    <row r="32" spans="3:10" x14ac:dyDescent="0.3">
      <c r="C32" s="1" t="s">
        <v>40</v>
      </c>
      <c r="D32" s="1" t="str">
        <v>0.26-1.7434i</v>
      </c>
      <c r="E32" s="1" t="str">
        <f t="shared" si="0"/>
        <v>0</v>
      </c>
      <c r="G32">
        <f t="shared" si="1"/>
        <v>0.26</v>
      </c>
      <c r="H32">
        <f t="shared" si="2"/>
        <v>-1.7434000000000001</v>
      </c>
      <c r="J32" t="str">
        <f t="shared" si="3"/>
        <v>0.26-1.7434i</v>
      </c>
    </row>
    <row r="33" spans="3:10" x14ac:dyDescent="0.3">
      <c r="C33" s="1" t="s">
        <v>41</v>
      </c>
      <c r="D33" s="1" t="str">
        <v>-1.0053+1.0441i</v>
      </c>
      <c r="E33" s="1" t="str">
        <f t="shared" si="0"/>
        <v>0</v>
      </c>
      <c r="G33">
        <f t="shared" si="1"/>
        <v>-1.0053000000000001</v>
      </c>
      <c r="H33">
        <f t="shared" si="2"/>
        <v>1.0441</v>
      </c>
      <c r="J33" t="str">
        <f t="shared" si="3"/>
        <v>-1.0053+1.0441i</v>
      </c>
    </row>
    <row r="34" spans="3:10" x14ac:dyDescent="0.3">
      <c r="C34" s="1" t="s">
        <v>42</v>
      </c>
      <c r="D34" s="1" t="str">
        <v>-0.3108-0.6501i</v>
      </c>
      <c r="E34" s="1" t="str">
        <f t="shared" si="0"/>
        <v>0</v>
      </c>
      <c r="G34">
        <f t="shared" si="1"/>
        <v>-0.31080000000000002</v>
      </c>
      <c r="H34">
        <f t="shared" si="2"/>
        <v>-0.65010000000000001</v>
      </c>
      <c r="J34" t="str">
        <f t="shared" si="3"/>
        <v>-0.3108-0.6501i</v>
      </c>
    </row>
    <row r="35" spans="3:10" x14ac:dyDescent="0.3">
      <c r="C35" s="1" t="s">
        <v>43</v>
      </c>
      <c r="D35" s="1" t="str">
        <v>0.3123-0.4418i</v>
      </c>
      <c r="E35" s="1" t="str">
        <f t="shared" si="0"/>
        <v>0</v>
      </c>
      <c r="G35">
        <f t="shared" ref="G35:G66" si="4">IMREAL(C35)</f>
        <v>0.31230000000000002</v>
      </c>
      <c r="H35">
        <f t="shared" ref="H35:H66" si="5">IMAGINARY(C35)</f>
        <v>-0.44180000000000003</v>
      </c>
      <c r="J35" t="str">
        <f t="shared" si="3"/>
        <v>0.3123-0.4418i</v>
      </c>
    </row>
    <row r="36" spans="3:10" x14ac:dyDescent="0.3">
      <c r="C36" s="1" t="s">
        <v>44</v>
      </c>
      <c r="D36" s="1" t="str">
        <v>-0.1293-0.3922i</v>
      </c>
      <c r="E36" s="1" t="str">
        <f t="shared" si="0"/>
        <v>0</v>
      </c>
      <c r="G36">
        <f t="shared" si="4"/>
        <v>-0.1293</v>
      </c>
      <c r="H36">
        <f t="shared" si="5"/>
        <v>-0.39219999999999999</v>
      </c>
      <c r="J36" t="str">
        <f t="shared" si="3"/>
        <v>-0.1293-0.3922i</v>
      </c>
    </row>
    <row r="37" spans="3:10" x14ac:dyDescent="0.3">
      <c r="C37" s="1" t="s">
        <v>45</v>
      </c>
      <c r="D37" s="1" t="str">
        <v>-0.8427-0.4312i</v>
      </c>
      <c r="E37" s="1" t="str">
        <f t="shared" si="0"/>
        <v>0</v>
      </c>
      <c r="G37">
        <f t="shared" si="4"/>
        <v>-0.8427</v>
      </c>
      <c r="H37">
        <f t="shared" si="5"/>
        <v>-0.43120000000000003</v>
      </c>
      <c r="J37" t="str">
        <f t="shared" si="3"/>
        <v>-0.8427-0.4312i</v>
      </c>
    </row>
    <row r="38" spans="3:10" x14ac:dyDescent="0.3">
      <c r="C38" s="1" t="s">
        <v>46</v>
      </c>
      <c r="D38" s="1" t="str">
        <v>0.1966+0.5741i</v>
      </c>
      <c r="E38" s="1" t="str">
        <f t="shared" si="0"/>
        <v>0</v>
      </c>
      <c r="G38">
        <f t="shared" si="4"/>
        <v>0.1966</v>
      </c>
      <c r="H38">
        <f t="shared" si="5"/>
        <v>0.57410000000000005</v>
      </c>
      <c r="J38" t="str">
        <f t="shared" si="3"/>
        <v>0.1966+0.5741i</v>
      </c>
    </row>
    <row r="39" spans="3:10" x14ac:dyDescent="0.3">
      <c r="C39" s="1" t="s">
        <v>47</v>
      </c>
      <c r="D39" s="1" t="str">
        <v>-0.9327+0.3093i</v>
      </c>
      <c r="E39" s="1" t="str">
        <f t="shared" si="0"/>
        <v>0</v>
      </c>
      <c r="G39">
        <f t="shared" si="4"/>
        <v>-0.93269999999999997</v>
      </c>
      <c r="H39">
        <f t="shared" si="5"/>
        <v>0.30930000000000002</v>
      </c>
      <c r="J39" t="str">
        <f t="shared" si="3"/>
        <v>-0.9327+0.3093i</v>
      </c>
    </row>
    <row r="40" spans="3:10" x14ac:dyDescent="0.3">
      <c r="C40" s="1" t="s">
        <v>48</v>
      </c>
      <c r="D40" s="1" t="str">
        <v>0.7895-0.6358i</v>
      </c>
      <c r="E40" s="1" t="str">
        <f t="shared" si="0"/>
        <v>0</v>
      </c>
      <c r="G40">
        <f t="shared" si="4"/>
        <v>0.78949999999999998</v>
      </c>
      <c r="H40">
        <f t="shared" si="5"/>
        <v>-0.63580000000000003</v>
      </c>
      <c r="J40" t="str">
        <f t="shared" si="3"/>
        <v>0.7895-0.6358i</v>
      </c>
    </row>
    <row r="41" spans="3:10" x14ac:dyDescent="0.3">
      <c r="C41" s="1" t="s">
        <v>49</v>
      </c>
      <c r="D41" s="1" t="str">
        <v>-1.9551+1.4153i</v>
      </c>
      <c r="E41" s="1" t="str">
        <f t="shared" si="0"/>
        <v>0</v>
      </c>
      <c r="G41">
        <f t="shared" si="4"/>
        <v>-1.9551000000000001</v>
      </c>
      <c r="H41">
        <f t="shared" si="5"/>
        <v>1.4153</v>
      </c>
      <c r="J41" t="str">
        <f t="shared" si="3"/>
        <v>-1.9551+1.4153i</v>
      </c>
    </row>
    <row r="42" spans="3:10" x14ac:dyDescent="0.3">
      <c r="C42" s="1" t="s">
        <v>50</v>
      </c>
      <c r="D42" s="1" t="str">
        <v>-0.0948-2.0597i</v>
      </c>
      <c r="E42" s="1" t="str">
        <f t="shared" si="0"/>
        <v>0</v>
      </c>
      <c r="G42">
        <f t="shared" si="4"/>
        <v>-9.4799999999999995E-2</v>
      </c>
      <c r="H42">
        <f t="shared" si="5"/>
        <v>-2.0596999999999999</v>
      </c>
      <c r="J42" t="str">
        <f t="shared" si="3"/>
        <v>-0.0948-2.0597i</v>
      </c>
    </row>
    <row r="43" spans="3:10" x14ac:dyDescent="0.3">
      <c r="C43" s="1" t="s">
        <v>51</v>
      </c>
      <c r="D43" s="1" t="str">
        <v>-0.9299+0.5952i</v>
      </c>
      <c r="E43" s="1" t="str">
        <f t="shared" si="0"/>
        <v>0</v>
      </c>
      <c r="G43">
        <f t="shared" si="4"/>
        <v>-0.92989999999999995</v>
      </c>
      <c r="H43">
        <f t="shared" si="5"/>
        <v>0.59519999999999995</v>
      </c>
      <c r="J43" t="str">
        <f t="shared" si="3"/>
        <v>-0.9299+0.5952i</v>
      </c>
    </row>
    <row r="44" spans="3:10" x14ac:dyDescent="0.3">
      <c r="C44" s="1" t="s">
        <v>52</v>
      </c>
      <c r="D44" s="1" t="str">
        <v>0.7226-0.4205i</v>
      </c>
      <c r="E44" s="1" t="str">
        <f t="shared" si="0"/>
        <v>0</v>
      </c>
      <c r="G44">
        <f t="shared" si="4"/>
        <v>0.72260000000000002</v>
      </c>
      <c r="H44">
        <f t="shared" si="5"/>
        <v>-0.42049999999999998</v>
      </c>
      <c r="J44" t="str">
        <f t="shared" si="3"/>
        <v>0.7226-0.4205i</v>
      </c>
    </row>
    <row r="45" spans="3:10" x14ac:dyDescent="0.3">
      <c r="C45" s="1" t="s">
        <v>53</v>
      </c>
      <c r="D45" s="1" t="str">
        <v>-0.5406+0.8506i</v>
      </c>
      <c r="E45" s="1" t="str">
        <f t="shared" si="0"/>
        <v>0</v>
      </c>
      <c r="G45">
        <f t="shared" si="4"/>
        <v>-0.54059999999999997</v>
      </c>
      <c r="H45">
        <f t="shared" si="5"/>
        <v>0.85060000000000002</v>
      </c>
      <c r="J45" t="str">
        <f t="shared" si="3"/>
        <v>-0.5406+0.8506i</v>
      </c>
    </row>
    <row r="46" spans="3:10" x14ac:dyDescent="0.3">
      <c r="C46" s="1" t="s">
        <v>54</v>
      </c>
      <c r="D46" s="1" t="str">
        <v>0.8403-0.9707i</v>
      </c>
      <c r="E46" s="1" t="str">
        <f t="shared" si="0"/>
        <v>0</v>
      </c>
      <c r="G46">
        <f t="shared" si="4"/>
        <v>0.84030000000000005</v>
      </c>
      <c r="H46">
        <f t="shared" si="5"/>
        <v>-0.97070000000000001</v>
      </c>
      <c r="J46" t="str">
        <f t="shared" si="3"/>
        <v>0.8403-0.9707i</v>
      </c>
    </row>
    <row r="47" spans="3:10" x14ac:dyDescent="0.3">
      <c r="C47" s="1" t="s">
        <v>55</v>
      </c>
      <c r="D47" s="1" t="str">
        <v>0.8709+1.7384i</v>
      </c>
      <c r="E47" s="1" t="str">
        <f t="shared" si="0"/>
        <v>0</v>
      </c>
      <c r="G47">
        <f t="shared" si="4"/>
        <v>0.87090000000000001</v>
      </c>
      <c r="H47">
        <f t="shared" si="5"/>
        <v>1.7383999999999999</v>
      </c>
      <c r="J47" t="str">
        <f t="shared" si="3"/>
        <v>0.8709+1.7384i</v>
      </c>
    </row>
    <row r="48" spans="3:10" x14ac:dyDescent="0.3">
      <c r="C48" s="1" t="s">
        <v>56</v>
      </c>
      <c r="D48" s="1" t="str">
        <v>-0.3143+0.1584i</v>
      </c>
      <c r="E48" s="1" t="str">
        <f t="shared" si="0"/>
        <v>0</v>
      </c>
      <c r="G48">
        <f t="shared" si="4"/>
        <v>-0.31430000000000002</v>
      </c>
      <c r="H48">
        <f t="shared" si="5"/>
        <v>0.15840000000000001</v>
      </c>
      <c r="J48" t="str">
        <f t="shared" si="3"/>
        <v>-0.3143+0.1584i</v>
      </c>
    </row>
    <row r="49" spans="3:10" x14ac:dyDescent="0.3">
      <c r="C49" s="1" t="s">
        <v>57</v>
      </c>
      <c r="D49" s="1" t="str">
        <v>-1.9728+0.0534i</v>
      </c>
      <c r="E49" s="1" t="str">
        <f t="shared" si="0"/>
        <v>0</v>
      </c>
      <c r="G49">
        <f t="shared" si="4"/>
        <v>-1.9728000000000001</v>
      </c>
      <c r="H49">
        <f t="shared" si="5"/>
        <v>5.3400000000000003E-2</v>
      </c>
      <c r="J49" t="str">
        <f t="shared" si="3"/>
        <v>-1.9728+0.0534i</v>
      </c>
    </row>
    <row r="50" spans="3:10" x14ac:dyDescent="0.3">
      <c r="C50" s="1" t="s">
        <v>58</v>
      </c>
      <c r="D50" s="1" t="str">
        <v>-1.0251+0.2071i</v>
      </c>
      <c r="E50" s="1" t="str">
        <f t="shared" si="0"/>
        <v>0</v>
      </c>
      <c r="G50">
        <f t="shared" si="4"/>
        <v>-1.0250999999999999</v>
      </c>
      <c r="H50">
        <f t="shared" si="5"/>
        <v>0.20710000000000001</v>
      </c>
      <c r="J50" t="str">
        <f t="shared" si="3"/>
        <v>-1.0251+0.2071i</v>
      </c>
    </row>
    <row r="51" spans="3:10" x14ac:dyDescent="0.3">
      <c r="C51" s="1" t="s">
        <v>59</v>
      </c>
      <c r="D51" s="1" t="str">
        <v>-0.6672+1.1205i</v>
      </c>
      <c r="E51" s="1" t="str">
        <f t="shared" si="0"/>
        <v>0</v>
      </c>
      <c r="G51">
        <f t="shared" si="4"/>
        <v>-0.66720000000000002</v>
      </c>
      <c r="H51">
        <f t="shared" si="5"/>
        <v>1.1205000000000001</v>
      </c>
      <c r="J51" t="str">
        <f t="shared" si="3"/>
        <v>-0.6672+1.1205i</v>
      </c>
    </row>
    <row r="52" spans="3:10" x14ac:dyDescent="0.3">
      <c r="C52" s="1" t="s">
        <v>60</v>
      </c>
      <c r="D52" s="1" t="str">
        <v>-2.0193-0.9767i</v>
      </c>
      <c r="E52" s="1" t="str">
        <f t="shared" si="0"/>
        <v>0</v>
      </c>
      <c r="G52">
        <f t="shared" si="4"/>
        <v>-2.0192999999999999</v>
      </c>
      <c r="H52">
        <f t="shared" si="5"/>
        <v>-0.97670000000000001</v>
      </c>
      <c r="J52" t="str">
        <f t="shared" si="3"/>
        <v>-2.0193-0.9767i</v>
      </c>
    </row>
    <row r="53" spans="3:10" x14ac:dyDescent="0.3">
      <c r="C53" s="1" t="s">
        <v>61</v>
      </c>
      <c r="D53" s="1" t="str">
        <v>-2.6996-0.1482i</v>
      </c>
      <c r="E53" s="1" t="str">
        <f t="shared" si="0"/>
        <v>0</v>
      </c>
      <c r="G53">
        <f t="shared" si="4"/>
        <v>-2.6996000000000002</v>
      </c>
      <c r="H53">
        <f t="shared" si="5"/>
        <v>-0.1482</v>
      </c>
      <c r="J53" t="str">
        <f t="shared" si="3"/>
        <v>-2.6996-0.1482i</v>
      </c>
    </row>
    <row r="54" spans="3:10" x14ac:dyDescent="0.3">
      <c r="C54" s="1" t="s">
        <v>62</v>
      </c>
      <c r="D54" s="1" t="str">
        <v>-0.5771-1.08i</v>
      </c>
      <c r="E54" s="1" t="str">
        <f t="shared" si="0"/>
        <v>0</v>
      </c>
      <c r="G54">
        <f t="shared" si="4"/>
        <v>-0.57709999999999995</v>
      </c>
      <c r="H54">
        <f t="shared" si="5"/>
        <v>-1.08</v>
      </c>
      <c r="J54" t="str">
        <f t="shared" si="3"/>
        <v>-0.5771-1.08i</v>
      </c>
    </row>
    <row r="55" spans="3:10" x14ac:dyDescent="0.3">
      <c r="C55" s="1" t="s">
        <v>63</v>
      </c>
      <c r="D55" s="1" t="str">
        <v>0.711+0.4801i</v>
      </c>
      <c r="E55" s="1" t="str">
        <f t="shared" si="0"/>
        <v>0</v>
      </c>
      <c r="G55">
        <f t="shared" si="4"/>
        <v>0.71099999999999997</v>
      </c>
      <c r="H55">
        <f t="shared" si="5"/>
        <v>0.48010000000000003</v>
      </c>
      <c r="J55" t="str">
        <f t="shared" si="3"/>
        <v>0.711+0.4801i</v>
      </c>
    </row>
    <row r="56" spans="3:10" x14ac:dyDescent="0.3">
      <c r="C56" s="1" t="s">
        <v>64</v>
      </c>
      <c r="D56" s="1" t="str">
        <v>0.2256+0.6934i</v>
      </c>
      <c r="E56" s="1" t="str">
        <f t="shared" si="0"/>
        <v>0</v>
      </c>
      <c r="G56">
        <f t="shared" si="4"/>
        <v>0.22559999999999999</v>
      </c>
      <c r="H56">
        <f t="shared" si="5"/>
        <v>0.69340000000000002</v>
      </c>
      <c r="J56" t="str">
        <f t="shared" si="3"/>
        <v>0.2256+0.6934i</v>
      </c>
    </row>
    <row r="57" spans="3:10" x14ac:dyDescent="0.3">
      <c r="C57" s="1" t="s">
        <v>65</v>
      </c>
      <c r="D57" s="1" t="str">
        <v>-1.4705+3.0298i</v>
      </c>
      <c r="E57" s="1" t="str">
        <f t="shared" si="0"/>
        <v>0</v>
      </c>
      <c r="G57">
        <f t="shared" si="4"/>
        <v>-1.4704999999999999</v>
      </c>
      <c r="H57">
        <f t="shared" si="5"/>
        <v>3.0297999999999998</v>
      </c>
      <c r="J57" t="str">
        <f t="shared" si="3"/>
        <v>-1.4705+3.0298i</v>
      </c>
    </row>
    <row r="58" spans="3:10" x14ac:dyDescent="0.3">
      <c r="C58" s="1" t="s">
        <v>66</v>
      </c>
      <c r="D58" s="1" t="str">
        <v>1.1694+0.7855i</v>
      </c>
      <c r="E58" s="1" t="str">
        <f t="shared" si="0"/>
        <v>0</v>
      </c>
      <c r="G58">
        <f t="shared" si="4"/>
        <v>1.1694</v>
      </c>
      <c r="H58">
        <f t="shared" si="5"/>
        <v>0.78549999999999998</v>
      </c>
      <c r="J58" t="str">
        <f t="shared" si="3"/>
        <v>1.1694+0.7855i</v>
      </c>
    </row>
    <row r="59" spans="3:10" x14ac:dyDescent="0.3">
      <c r="C59" s="1" t="s">
        <v>67</v>
      </c>
      <c r="D59" s="1" t="str">
        <v>0.5571-0.7615i</v>
      </c>
      <c r="E59" s="1" t="str">
        <f t="shared" si="0"/>
        <v>0</v>
      </c>
      <c r="G59">
        <f t="shared" si="4"/>
        <v>0.55710000000000004</v>
      </c>
      <c r="H59">
        <f t="shared" si="5"/>
        <v>-0.76149999999999995</v>
      </c>
      <c r="J59" t="str">
        <f t="shared" si="3"/>
        <v>0.5571-0.7615i</v>
      </c>
    </row>
    <row r="60" spans="3:10" x14ac:dyDescent="0.3">
      <c r="C60" s="1" t="s">
        <v>68</v>
      </c>
      <c r="D60" s="1" t="str">
        <v>1.0063-1.6597i</v>
      </c>
      <c r="E60" s="1" t="str">
        <f t="shared" si="0"/>
        <v>0</v>
      </c>
      <c r="G60">
        <f t="shared" si="4"/>
        <v>1.0063</v>
      </c>
      <c r="H60">
        <f t="shared" si="5"/>
        <v>-1.6597</v>
      </c>
      <c r="J60" t="str">
        <f t="shared" si="3"/>
        <v>1.0063-1.6597i</v>
      </c>
    </row>
    <row r="61" spans="3:10" x14ac:dyDescent="0.3">
      <c r="C61" s="1" t="s">
        <v>69</v>
      </c>
      <c r="D61" s="1" t="str">
        <v>0.3729+0.3992i</v>
      </c>
      <c r="E61" s="1" t="str">
        <f t="shared" si="0"/>
        <v>0</v>
      </c>
      <c r="G61">
        <f t="shared" si="4"/>
        <v>0.37290000000000001</v>
      </c>
      <c r="H61">
        <f t="shared" si="5"/>
        <v>0.3992</v>
      </c>
      <c r="J61" t="str">
        <f t="shared" si="3"/>
        <v>0.3729+0.3992i</v>
      </c>
    </row>
    <row r="62" spans="3:10" x14ac:dyDescent="0.3">
      <c r="C62" s="1" t="s">
        <v>70</v>
      </c>
      <c r="D62" s="1" t="str">
        <v>-1.1835-0.003i</v>
      </c>
      <c r="E62" s="1" t="str">
        <f t="shared" si="0"/>
        <v>0</v>
      </c>
      <c r="G62">
        <f t="shared" si="4"/>
        <v>-1.1835</v>
      </c>
      <c r="H62">
        <f t="shared" si="5"/>
        <v>-3.0000000000000001E-3</v>
      </c>
      <c r="J62" t="str">
        <f t="shared" si="3"/>
        <v>-1.1835-0.003i</v>
      </c>
    </row>
    <row r="63" spans="3:10" x14ac:dyDescent="0.3">
      <c r="C63" s="1" t="s">
        <v>71</v>
      </c>
      <c r="D63" s="1" t="str">
        <v>-0.9322-1.5266i</v>
      </c>
      <c r="E63" s="1" t="str">
        <f t="shared" si="0"/>
        <v>0</v>
      </c>
      <c r="G63">
        <f t="shared" si="4"/>
        <v>-0.93220000000000003</v>
      </c>
      <c r="H63">
        <f t="shared" si="5"/>
        <v>-1.5266</v>
      </c>
      <c r="J63" t="str">
        <f t="shared" si="3"/>
        <v>-0.9322-1.5266i</v>
      </c>
    </row>
    <row r="64" spans="3:10" x14ac:dyDescent="0.3">
      <c r="C64" s="1" t="s">
        <v>72</v>
      </c>
      <c r="D64" s="1" t="str">
        <v>-1.3561-1.4099i</v>
      </c>
      <c r="E64" s="1" t="str">
        <f t="shared" si="0"/>
        <v>0</v>
      </c>
      <c r="G64">
        <f t="shared" si="4"/>
        <v>-1.3561000000000001</v>
      </c>
      <c r="H64">
        <f t="shared" si="5"/>
        <v>-1.4098999999999999</v>
      </c>
      <c r="J64" t="str">
        <f t="shared" si="3"/>
        <v>-1.3561-1.4099i</v>
      </c>
    </row>
    <row r="65" spans="3:10" x14ac:dyDescent="0.3">
      <c r="C65" s="1" t="s">
        <v>73</v>
      </c>
      <c r="D65" s="1" t="str">
        <v>0.9078-0.513i</v>
      </c>
      <c r="E65" s="1" t="str">
        <f t="shared" si="0"/>
        <v>0</v>
      </c>
      <c r="G65">
        <f t="shared" si="4"/>
        <v>0.90780000000000005</v>
      </c>
      <c r="H65">
        <f t="shared" si="5"/>
        <v>-0.51300000000000001</v>
      </c>
      <c r="J65" t="str">
        <f t="shared" si="3"/>
        <v>0.9078-0.513i</v>
      </c>
    </row>
    <row r="66" spans="3:10" x14ac:dyDescent="0.3">
      <c r="C66" s="1" t="s">
        <v>74</v>
      </c>
      <c r="D66" s="1" t="str">
        <v>0.4918+1.3229i</v>
      </c>
      <c r="E66" s="1" t="str">
        <f t="shared" si="0"/>
        <v>0</v>
      </c>
      <c r="G66">
        <f t="shared" si="4"/>
        <v>0.49180000000000001</v>
      </c>
      <c r="H66">
        <f t="shared" si="5"/>
        <v>1.3229</v>
      </c>
      <c r="J66" t="str">
        <f t="shared" si="3"/>
        <v>0.4918+1.3229i</v>
      </c>
    </row>
    <row r="67" spans="3:10" x14ac:dyDescent="0.3">
      <c r="C67" s="1" t="s">
        <v>75</v>
      </c>
      <c r="D67" s="1" t="str">
        <v>-0.3563-0.2943i</v>
      </c>
      <c r="E67" s="1" t="str">
        <f t="shared" si="0"/>
        <v>0</v>
      </c>
      <c r="G67">
        <f t="shared" ref="G67:G102" si="6">IMREAL(C67)</f>
        <v>-0.35630000000000001</v>
      </c>
      <c r="H67">
        <f t="shared" ref="H67:H102" si="7">IMAGINARY(C67)</f>
        <v>-0.29430000000000001</v>
      </c>
      <c r="J67" t="str">
        <f t="shared" si="3"/>
        <v>-0.3563-0.2943i</v>
      </c>
    </row>
    <row r="68" spans="3:10" x14ac:dyDescent="0.3">
      <c r="C68" s="1" t="s">
        <v>76</v>
      </c>
      <c r="D68" s="1" t="str">
        <v>1.0148-1.5089i</v>
      </c>
      <c r="E68" s="1" t="str">
        <f t="shared" ref="E68:E102" si="8">IMSUB(C68,D68)</f>
        <v>0</v>
      </c>
      <c r="G68">
        <f t="shared" si="6"/>
        <v>1.0147999999999999</v>
      </c>
      <c r="H68">
        <f t="shared" si="7"/>
        <v>-1.5088999999999999</v>
      </c>
      <c r="J68" t="str">
        <f t="shared" ref="J68:J102" si="9">COMPLEX(G68,H68)</f>
        <v>1.0148-1.5089i</v>
      </c>
    </row>
    <row r="69" spans="3:10" x14ac:dyDescent="0.3">
      <c r="C69" s="1" t="s">
        <v>77</v>
      </c>
      <c r="D69" s="1" t="str">
        <v>0.2973+0.2467i</v>
      </c>
      <c r="E69" s="1" t="str">
        <f t="shared" si="8"/>
        <v>0</v>
      </c>
      <c r="G69">
        <f t="shared" si="6"/>
        <v>0.29730000000000001</v>
      </c>
      <c r="H69">
        <f t="shared" si="7"/>
        <v>0.2467</v>
      </c>
      <c r="J69" t="str">
        <f t="shared" si="9"/>
        <v>0.2973+0.2467i</v>
      </c>
    </row>
    <row r="70" spans="3:10" x14ac:dyDescent="0.3">
      <c r="C70" s="1" t="s">
        <v>78</v>
      </c>
      <c r="D70" s="1" t="str">
        <v>-0.9604+1.8648i</v>
      </c>
      <c r="E70" s="1" t="str">
        <f t="shared" si="8"/>
        <v>0</v>
      </c>
      <c r="G70">
        <f t="shared" si="6"/>
        <v>-0.96040000000000003</v>
      </c>
      <c r="H70">
        <f t="shared" si="7"/>
        <v>1.8648</v>
      </c>
      <c r="J70" t="str">
        <f t="shared" si="9"/>
        <v>-0.9604+1.8648i</v>
      </c>
    </row>
    <row r="71" spans="3:10" x14ac:dyDescent="0.3">
      <c r="C71" s="1" t="s">
        <v>79</v>
      </c>
      <c r="D71" s="1" t="str">
        <v>0.8622+0.5147i</v>
      </c>
      <c r="E71" s="1" t="str">
        <f t="shared" si="8"/>
        <v>0</v>
      </c>
      <c r="G71">
        <f t="shared" si="6"/>
        <v>0.86219999999999997</v>
      </c>
      <c r="H71">
        <f t="shared" si="7"/>
        <v>0.51470000000000005</v>
      </c>
      <c r="J71" t="str">
        <f t="shared" si="9"/>
        <v>0.8622+0.5147i</v>
      </c>
    </row>
    <row r="72" spans="3:10" x14ac:dyDescent="0.3">
      <c r="C72" s="1" t="s">
        <v>80</v>
      </c>
      <c r="D72" s="1" t="str">
        <v>0.4149-0.4273i</v>
      </c>
      <c r="E72" s="1" t="str">
        <f t="shared" si="8"/>
        <v>0</v>
      </c>
      <c r="G72">
        <f t="shared" si="6"/>
        <v>0.41489999999999999</v>
      </c>
      <c r="H72">
        <f t="shared" si="7"/>
        <v>-0.42730000000000001</v>
      </c>
      <c r="J72" t="str">
        <f t="shared" si="9"/>
        <v>0.4149-0.4273i</v>
      </c>
    </row>
    <row r="73" spans="3:10" x14ac:dyDescent="0.3">
      <c r="C73" s="1" t="s">
        <v>81</v>
      </c>
      <c r="D73" s="1" t="str">
        <v>0.5554+0.9426i</v>
      </c>
      <c r="E73" s="1" t="str">
        <f t="shared" si="8"/>
        <v>0</v>
      </c>
      <c r="G73">
        <f t="shared" si="6"/>
        <v>0.5554</v>
      </c>
      <c r="H73">
        <f t="shared" si="7"/>
        <v>0.94259999999999999</v>
      </c>
      <c r="J73" t="str">
        <f t="shared" si="9"/>
        <v>0.5554+0.9426i</v>
      </c>
    </row>
    <row r="74" spans="3:10" x14ac:dyDescent="0.3">
      <c r="C74" s="1" t="s">
        <v>82</v>
      </c>
      <c r="D74" s="1" t="str">
        <v>-0.1264+0.4562i</v>
      </c>
      <c r="E74" s="1" t="str">
        <f t="shared" si="8"/>
        <v>0</v>
      </c>
      <c r="G74">
        <f t="shared" si="6"/>
        <v>-0.12640000000000001</v>
      </c>
      <c r="H74">
        <f t="shared" si="7"/>
        <v>0.45619999999999999</v>
      </c>
      <c r="J74" t="str">
        <f t="shared" si="9"/>
        <v>-0.1264+0.4562i</v>
      </c>
    </row>
    <row r="75" spans="3:10" x14ac:dyDescent="0.3">
      <c r="C75" s="1" t="s">
        <v>83</v>
      </c>
      <c r="D75" s="1" t="str">
        <v>-0.3199+1.5328i</v>
      </c>
      <c r="E75" s="1" t="str">
        <f t="shared" si="8"/>
        <v>0</v>
      </c>
      <c r="G75">
        <f t="shared" si="6"/>
        <v>-0.31990000000000002</v>
      </c>
      <c r="H75">
        <f t="shared" si="7"/>
        <v>1.5327999999999999</v>
      </c>
      <c r="J75" t="str">
        <f t="shared" si="9"/>
        <v>-0.3199+1.5328i</v>
      </c>
    </row>
    <row r="76" spans="3:10" x14ac:dyDescent="0.3">
      <c r="C76" s="1" t="s">
        <v>84</v>
      </c>
      <c r="D76" s="1" t="str">
        <v>-0.1588+0.3588i</v>
      </c>
      <c r="E76" s="1" t="str">
        <f t="shared" si="8"/>
        <v>0</v>
      </c>
      <c r="G76">
        <f t="shared" si="6"/>
        <v>-0.1588</v>
      </c>
      <c r="H76">
        <f t="shared" si="7"/>
        <v>0.35880000000000001</v>
      </c>
      <c r="J76" t="str">
        <f t="shared" si="9"/>
        <v>-0.1588+0.3588i</v>
      </c>
    </row>
    <row r="77" spans="3:10" x14ac:dyDescent="0.3">
      <c r="C77" s="1" t="s">
        <v>85</v>
      </c>
      <c r="D77" s="1" t="str">
        <v>2.8068+0.0835i</v>
      </c>
      <c r="E77" s="1" t="str">
        <f t="shared" si="8"/>
        <v>0</v>
      </c>
      <c r="G77">
        <f t="shared" si="6"/>
        <v>2.8068</v>
      </c>
      <c r="H77">
        <f t="shared" si="7"/>
        <v>8.3500000000000005E-2</v>
      </c>
      <c r="J77" t="str">
        <f t="shared" si="9"/>
        <v>2.8068+0.0835i</v>
      </c>
    </row>
    <row r="78" spans="3:10" x14ac:dyDescent="0.3">
      <c r="C78" s="1" t="s">
        <v>86</v>
      </c>
      <c r="D78" s="1" t="str">
        <v>0.8926+1.686i</v>
      </c>
      <c r="E78" s="1" t="str">
        <f t="shared" si="8"/>
        <v>0</v>
      </c>
      <c r="G78">
        <f t="shared" si="6"/>
        <v>0.89259999999999995</v>
      </c>
      <c r="H78">
        <f t="shared" si="7"/>
        <v>1.6859999999999999</v>
      </c>
      <c r="J78" t="str">
        <f t="shared" si="9"/>
        <v>0.8926+1.686i</v>
      </c>
    </row>
    <row r="79" spans="3:10" x14ac:dyDescent="0.3">
      <c r="C79" s="1" t="s">
        <v>87</v>
      </c>
      <c r="D79" s="1" t="str">
        <v>0.5333-0.1033i</v>
      </c>
      <c r="E79" s="1" t="str">
        <f t="shared" si="8"/>
        <v>0</v>
      </c>
      <c r="G79">
        <f t="shared" si="6"/>
        <v>0.5333</v>
      </c>
      <c r="H79">
        <f t="shared" si="7"/>
        <v>-0.1033</v>
      </c>
      <c r="J79" t="str">
        <f t="shared" si="9"/>
        <v>0.5333-0.1033i</v>
      </c>
    </row>
    <row r="80" spans="3:10" x14ac:dyDescent="0.3">
      <c r="C80" s="1" t="s">
        <v>88</v>
      </c>
      <c r="D80" s="1" t="str">
        <v>-0.1618+0.3656i</v>
      </c>
      <c r="E80" s="1" t="str">
        <f t="shared" si="8"/>
        <v>0</v>
      </c>
      <c r="G80">
        <f t="shared" si="6"/>
        <v>-0.1618</v>
      </c>
      <c r="H80">
        <f t="shared" si="7"/>
        <v>0.36559999999999998</v>
      </c>
      <c r="J80" t="str">
        <f t="shared" si="9"/>
        <v>-0.1618+0.3656i</v>
      </c>
    </row>
    <row r="81" spans="3:10" x14ac:dyDescent="0.3">
      <c r="C81" s="1" t="s">
        <v>89</v>
      </c>
      <c r="D81" s="1" t="str">
        <v>1.793-0.2256i</v>
      </c>
      <c r="E81" s="1" t="str">
        <f t="shared" si="8"/>
        <v>0</v>
      </c>
      <c r="G81">
        <f t="shared" si="6"/>
        <v>1.7929999999999999</v>
      </c>
      <c r="H81">
        <f t="shared" si="7"/>
        <v>-0.22559999999999999</v>
      </c>
      <c r="J81" t="str">
        <f t="shared" si="9"/>
        <v>1.793-0.2256i</v>
      </c>
    </row>
    <row r="82" spans="3:10" x14ac:dyDescent="0.3">
      <c r="C82" s="1" t="s">
        <v>90</v>
      </c>
      <c r="D82" s="1" t="str">
        <v>-0.6866-0.2752i</v>
      </c>
      <c r="E82" s="1" t="str">
        <f t="shared" si="8"/>
        <v>0</v>
      </c>
      <c r="G82">
        <f t="shared" si="6"/>
        <v>-0.68659999999999999</v>
      </c>
      <c r="H82">
        <f t="shared" si="7"/>
        <v>-0.2752</v>
      </c>
      <c r="J82" t="str">
        <f t="shared" si="9"/>
        <v>-0.6866-0.2752i</v>
      </c>
    </row>
    <row r="83" spans="3:10" x14ac:dyDescent="0.3">
      <c r="C83" s="1" t="s">
        <v>91</v>
      </c>
      <c r="D83" s="1" t="str">
        <v>-1.7713-0.7292i</v>
      </c>
      <c r="E83" s="1" t="str">
        <f t="shared" si="8"/>
        <v>0</v>
      </c>
      <c r="G83">
        <f t="shared" si="6"/>
        <v>-1.7713000000000001</v>
      </c>
      <c r="H83">
        <f t="shared" si="7"/>
        <v>-0.72919999999999996</v>
      </c>
      <c r="J83" t="str">
        <f t="shared" si="9"/>
        <v>-1.7713-0.7292i</v>
      </c>
    </row>
    <row r="84" spans="3:10" x14ac:dyDescent="0.3">
      <c r="C84" s="1" t="s">
        <v>92</v>
      </c>
      <c r="D84" s="1" t="str">
        <v>-0.5022-0.243i</v>
      </c>
      <c r="E84" s="1" t="str">
        <f t="shared" si="8"/>
        <v>0</v>
      </c>
      <c r="G84">
        <f t="shared" si="6"/>
        <v>-0.50219999999999998</v>
      </c>
      <c r="H84">
        <f t="shared" si="7"/>
        <v>-0.24299999999999999</v>
      </c>
      <c r="J84" t="str">
        <f t="shared" si="9"/>
        <v>-0.5022-0.243i</v>
      </c>
    </row>
    <row r="85" spans="3:10" x14ac:dyDescent="0.3">
      <c r="C85" s="1" t="s">
        <v>93</v>
      </c>
      <c r="D85" s="1" t="str">
        <v>-0.1208+0.3021i</v>
      </c>
      <c r="E85" s="1" t="str">
        <f t="shared" si="8"/>
        <v>0</v>
      </c>
      <c r="G85">
        <f t="shared" si="6"/>
        <v>-0.1208</v>
      </c>
      <c r="H85">
        <f t="shared" si="7"/>
        <v>0.30209999999999998</v>
      </c>
      <c r="J85" t="str">
        <f t="shared" si="9"/>
        <v>-0.1208+0.3021i</v>
      </c>
    </row>
    <row r="86" spans="3:10" x14ac:dyDescent="0.3">
      <c r="C86" s="1" t="s">
        <v>94</v>
      </c>
      <c r="D86" s="1" t="str">
        <v>0.8011+0.0821i</v>
      </c>
      <c r="E86" s="1" t="str">
        <f t="shared" si="8"/>
        <v>0</v>
      </c>
      <c r="G86">
        <f t="shared" si="6"/>
        <v>0.80110000000000003</v>
      </c>
      <c r="H86">
        <f t="shared" si="7"/>
        <v>8.2100000000000006E-2</v>
      </c>
      <c r="J86" t="str">
        <f t="shared" si="9"/>
        <v>0.8011+0.0821i</v>
      </c>
    </row>
    <row r="87" spans="3:10" x14ac:dyDescent="0.3">
      <c r="C87" s="1" t="s">
        <v>95</v>
      </c>
      <c r="D87" s="1" t="str">
        <v>0.0996-1.205i</v>
      </c>
      <c r="E87" s="1" t="str">
        <f t="shared" si="8"/>
        <v>0</v>
      </c>
      <c r="G87">
        <f t="shared" si="6"/>
        <v>9.9599999999999994E-2</v>
      </c>
      <c r="H87">
        <f t="shared" si="7"/>
        <v>-1.2050000000000001</v>
      </c>
      <c r="J87" t="str">
        <f t="shared" si="9"/>
        <v>0.0996-1.205i</v>
      </c>
    </row>
    <row r="88" spans="3:10" x14ac:dyDescent="0.3">
      <c r="C88" s="1" t="s">
        <v>96</v>
      </c>
      <c r="D88" s="1" t="str">
        <v>0.6309+0.8347i</v>
      </c>
      <c r="E88" s="1" t="str">
        <f t="shared" si="8"/>
        <v>0</v>
      </c>
      <c r="G88">
        <f t="shared" si="6"/>
        <v>0.63090000000000002</v>
      </c>
      <c r="H88">
        <f t="shared" si="7"/>
        <v>0.8347</v>
      </c>
      <c r="J88" t="str">
        <f t="shared" si="9"/>
        <v>0.6309+0.8347i</v>
      </c>
    </row>
    <row r="89" spans="3:10" x14ac:dyDescent="0.3">
      <c r="C89" s="1" t="s">
        <v>97</v>
      </c>
      <c r="D89" s="1" t="str">
        <v>0.3651-1.4693i</v>
      </c>
      <c r="E89" s="1" t="str">
        <f t="shared" si="8"/>
        <v>0</v>
      </c>
      <c r="G89">
        <f t="shared" si="6"/>
        <v>0.36509999999999998</v>
      </c>
      <c r="H89">
        <f t="shared" si="7"/>
        <v>-1.4693000000000001</v>
      </c>
      <c r="J89" t="str">
        <f t="shared" si="9"/>
        <v>0.3651-1.4693i</v>
      </c>
    </row>
    <row r="90" spans="3:10" x14ac:dyDescent="0.3">
      <c r="C90" s="1" t="s">
        <v>98</v>
      </c>
      <c r="D90" s="1" t="str">
        <v>3.2628-0.0169i</v>
      </c>
      <c r="E90" s="1" t="str">
        <f t="shared" si="8"/>
        <v>0</v>
      </c>
      <c r="G90">
        <f t="shared" si="6"/>
        <v>3.2627999999999999</v>
      </c>
      <c r="H90">
        <f t="shared" si="7"/>
        <v>-1.6899999999999998E-2</v>
      </c>
      <c r="J90" t="str">
        <f t="shared" si="9"/>
        <v>3.2628-0.0169i</v>
      </c>
    </row>
    <row r="91" spans="3:10" x14ac:dyDescent="0.3">
      <c r="C91" s="1" t="s">
        <v>99</v>
      </c>
      <c r="D91" s="1" t="str">
        <v>-1.0142-1.2826i</v>
      </c>
      <c r="E91" s="1" t="str">
        <f t="shared" si="8"/>
        <v>0</v>
      </c>
      <c r="G91">
        <f t="shared" si="6"/>
        <v>-1.0142</v>
      </c>
      <c r="H91">
        <f t="shared" si="7"/>
        <v>-1.2826</v>
      </c>
      <c r="J91" t="str">
        <f t="shared" si="9"/>
        <v>-1.0142-1.2826i</v>
      </c>
    </row>
    <row r="92" spans="3:10" x14ac:dyDescent="0.3">
      <c r="C92" s="1" t="s">
        <v>100</v>
      </c>
      <c r="D92" s="1" t="str">
        <v>-0.7134+0.5035i</v>
      </c>
      <c r="E92" s="1" t="str">
        <f t="shared" si="8"/>
        <v>0</v>
      </c>
      <c r="G92">
        <f t="shared" si="6"/>
        <v>-0.71340000000000003</v>
      </c>
      <c r="H92">
        <f t="shared" si="7"/>
        <v>0.50349999999999995</v>
      </c>
      <c r="J92" t="str">
        <f t="shared" si="9"/>
        <v>-0.7134+0.5035i</v>
      </c>
    </row>
    <row r="93" spans="3:10" x14ac:dyDescent="0.3">
      <c r="C93" s="1" t="s">
        <v>101</v>
      </c>
      <c r="D93" s="1" t="str">
        <v>1.834+0.9008i</v>
      </c>
      <c r="E93" s="1" t="str">
        <f t="shared" si="8"/>
        <v>0</v>
      </c>
      <c r="G93">
        <f t="shared" si="6"/>
        <v>1.8340000000000001</v>
      </c>
      <c r="H93">
        <f t="shared" si="7"/>
        <v>0.90080000000000005</v>
      </c>
      <c r="J93" t="str">
        <f t="shared" si="9"/>
        <v>1.834+0.9008i</v>
      </c>
    </row>
    <row r="94" spans="3:10" x14ac:dyDescent="0.3">
      <c r="C94" s="1" t="s">
        <v>102</v>
      </c>
      <c r="D94" s="1" t="str">
        <v>-1.3643-0.0496i</v>
      </c>
      <c r="E94" s="1" t="str">
        <f t="shared" si="8"/>
        <v>0</v>
      </c>
      <c r="G94">
        <f t="shared" si="6"/>
        <v>-1.3643000000000001</v>
      </c>
      <c r="H94">
        <f t="shared" si="7"/>
        <v>-4.9599999999999998E-2</v>
      </c>
      <c r="J94" t="str">
        <f t="shared" si="9"/>
        <v>-1.3643-0.0496i</v>
      </c>
    </row>
    <row r="95" spans="3:10" x14ac:dyDescent="0.3">
      <c r="C95" s="1" t="s">
        <v>103</v>
      </c>
      <c r="D95" s="1" t="str">
        <v>-0.4128+0.9118i</v>
      </c>
      <c r="E95" s="1" t="str">
        <f t="shared" si="8"/>
        <v>0</v>
      </c>
      <c r="G95">
        <f t="shared" si="6"/>
        <v>-0.4128</v>
      </c>
      <c r="H95">
        <f t="shared" si="7"/>
        <v>0.91180000000000005</v>
      </c>
      <c r="J95" t="str">
        <f t="shared" si="9"/>
        <v>-0.4128+0.9118i</v>
      </c>
    </row>
    <row r="96" spans="3:10" x14ac:dyDescent="0.3">
      <c r="C96" s="1" t="s">
        <v>104</v>
      </c>
      <c r="D96" s="1" t="str">
        <v>-0.8485-0.8267i</v>
      </c>
      <c r="E96" s="1" t="str">
        <f t="shared" si="8"/>
        <v>0</v>
      </c>
      <c r="G96">
        <f t="shared" si="6"/>
        <v>-0.84850000000000003</v>
      </c>
      <c r="H96">
        <f t="shared" si="7"/>
        <v>-0.82669999999999999</v>
      </c>
      <c r="J96" t="str">
        <f t="shared" si="9"/>
        <v>-0.8485-0.8267i</v>
      </c>
    </row>
    <row r="97" spans="3:10" x14ac:dyDescent="0.3">
      <c r="C97" s="1" t="s">
        <v>105</v>
      </c>
      <c r="D97" s="1" t="str">
        <v>0.023+1.5727i</v>
      </c>
      <c r="E97" s="1" t="str">
        <f t="shared" si="8"/>
        <v>0</v>
      </c>
      <c r="G97">
        <f t="shared" si="6"/>
        <v>2.3E-2</v>
      </c>
      <c r="H97">
        <f t="shared" si="7"/>
        <v>1.5727</v>
      </c>
      <c r="J97" t="str">
        <f t="shared" si="9"/>
        <v>0.023+1.5727i</v>
      </c>
    </row>
    <row r="98" spans="3:10" x14ac:dyDescent="0.3">
      <c r="C98" s="1" t="s">
        <v>106</v>
      </c>
      <c r="D98" s="1" t="str">
        <v>1.5119-1.5758i</v>
      </c>
      <c r="E98" s="1" t="str">
        <f t="shared" si="8"/>
        <v>0</v>
      </c>
      <c r="G98">
        <f t="shared" si="6"/>
        <v>1.5119</v>
      </c>
      <c r="H98">
        <f t="shared" si="7"/>
        <v>-1.5758000000000001</v>
      </c>
      <c r="J98" t="str">
        <f t="shared" si="9"/>
        <v>1.5119-1.5758i</v>
      </c>
    </row>
    <row r="99" spans="3:10" x14ac:dyDescent="0.3">
      <c r="C99" s="1" t="s">
        <v>107</v>
      </c>
      <c r="D99" s="1" t="str">
        <v>-1.2321-0.0369i</v>
      </c>
      <c r="E99" s="1" t="str">
        <f t="shared" si="8"/>
        <v>0</v>
      </c>
      <c r="G99">
        <f t="shared" si="6"/>
        <v>-1.2321</v>
      </c>
      <c r="H99">
        <f t="shared" si="7"/>
        <v>-3.6900000000000002E-2</v>
      </c>
      <c r="J99" t="str">
        <f t="shared" si="9"/>
        <v>-1.2321-0.0369i</v>
      </c>
    </row>
    <row r="100" spans="3:10" x14ac:dyDescent="0.3">
      <c r="C100" s="1" t="s">
        <v>108</v>
      </c>
      <c r="D100" s="1" t="str">
        <v>-1.4651-0.5745i</v>
      </c>
      <c r="E100" s="1" t="str">
        <f t="shared" si="8"/>
        <v>0</v>
      </c>
      <c r="G100">
        <f t="shared" si="6"/>
        <v>-1.4651000000000001</v>
      </c>
      <c r="H100">
        <f t="shared" si="7"/>
        <v>-0.57450000000000001</v>
      </c>
      <c r="J100" t="str">
        <f t="shared" si="9"/>
        <v>-1.4651-0.5745i</v>
      </c>
    </row>
    <row r="101" spans="3:10" x14ac:dyDescent="0.3">
      <c r="C101" s="1" t="s">
        <v>109</v>
      </c>
      <c r="D101" s="1" t="str">
        <v>-0.5813-1.3526i</v>
      </c>
      <c r="E101" s="1" t="str">
        <f t="shared" si="8"/>
        <v>0</v>
      </c>
      <c r="G101">
        <f t="shared" si="6"/>
        <v>-0.58130000000000004</v>
      </c>
      <c r="H101">
        <f t="shared" si="7"/>
        <v>-1.3526</v>
      </c>
      <c r="J101" t="str">
        <f t="shared" si="9"/>
        <v>-0.5813-1.3526i</v>
      </c>
    </row>
    <row r="102" spans="3:10" x14ac:dyDescent="0.3">
      <c r="C102" s="1" t="s">
        <v>110</v>
      </c>
      <c r="D102" s="1" t="str">
        <v>0.5641-0.5596i</v>
      </c>
      <c r="E102" s="1" t="str">
        <f t="shared" si="8"/>
        <v>0</v>
      </c>
      <c r="G102">
        <f t="shared" si="6"/>
        <v>0.56410000000000005</v>
      </c>
      <c r="H102">
        <f t="shared" si="7"/>
        <v>-0.55959999999999999</v>
      </c>
      <c r="J102" t="str">
        <f t="shared" si="9"/>
        <v>0.5641-0.5596i</v>
      </c>
    </row>
  </sheetData>
  <conditionalFormatting sqref="E3:E102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AE8F-00CE-46EF-A200-2B38BAF8B5D2}">
  <dimension ref="B2:J12"/>
  <sheetViews>
    <sheetView workbookViewId="0">
      <selection activeCell="I3" sqref="I3"/>
    </sheetView>
  </sheetViews>
  <sheetFormatPr defaultRowHeight="14.4" x14ac:dyDescent="0.3"/>
  <cols>
    <col min="7" max="7" width="18" customWidth="1"/>
  </cols>
  <sheetData>
    <row r="2" spans="2:10" x14ac:dyDescent="0.3">
      <c r="B2" t="str" cm="1">
        <f t="array" ref="B2">_xll.RScript.CreateVector("intv1",_xlfn.ANCHORARRAY( B3),"Integer")</f>
        <v>intv1</v>
      </c>
      <c r="D2" t="s">
        <v>113</v>
      </c>
      <c r="E2" t="str" cm="1">
        <f t="array" ref="E2">_xll.RScript.CreateVector("intv2",_xlfn.ANCHORARRAY( D3), "Integer")</f>
        <v>intv2</v>
      </c>
    </row>
    <row r="3" spans="2:10" x14ac:dyDescent="0.3">
      <c r="B3" cm="1">
        <f t="array" ref="B3:B12">_xlfn.SEQUENCE(10, 1, 250)</f>
        <v>250</v>
      </c>
      <c r="D3" cm="1">
        <f t="array" ref="D3:D12">_xlfn.ANCHORARRAY(B3)+10</f>
        <v>260</v>
      </c>
      <c r="G3" t="s">
        <v>114</v>
      </c>
      <c r="I3" t="str" cm="1">
        <f t="array" ref="I3">_xll.RScript.Evaluate(G3)</f>
        <v>intv3</v>
      </c>
      <c r="J3" cm="1">
        <f t="array" ref="J3:J12">_xll.RScript.Evaluate(I3)</f>
        <v>510</v>
      </c>
    </row>
    <row r="4" spans="2:10" x14ac:dyDescent="0.3">
      <c r="B4">
        <v>251</v>
      </c>
      <c r="D4">
        <v>261</v>
      </c>
      <c r="J4">
        <v>512</v>
      </c>
    </row>
    <row r="5" spans="2:10" x14ac:dyDescent="0.3">
      <c r="B5">
        <v>252</v>
      </c>
      <c r="D5">
        <v>262</v>
      </c>
      <c r="J5">
        <v>514</v>
      </c>
    </row>
    <row r="6" spans="2:10" x14ac:dyDescent="0.3">
      <c r="B6">
        <v>253</v>
      </c>
      <c r="D6">
        <v>263</v>
      </c>
      <c r="J6">
        <v>516</v>
      </c>
    </row>
    <row r="7" spans="2:10" x14ac:dyDescent="0.3">
      <c r="B7">
        <v>254</v>
      </c>
      <c r="D7">
        <v>264</v>
      </c>
      <c r="J7">
        <v>518</v>
      </c>
    </row>
    <row r="8" spans="2:10" x14ac:dyDescent="0.3">
      <c r="B8">
        <v>255</v>
      </c>
      <c r="D8">
        <v>265</v>
      </c>
      <c r="J8">
        <v>520</v>
      </c>
    </row>
    <row r="9" spans="2:10" x14ac:dyDescent="0.3">
      <c r="B9">
        <v>256</v>
      </c>
      <c r="D9">
        <v>266</v>
      </c>
      <c r="J9">
        <v>522</v>
      </c>
    </row>
    <row r="10" spans="2:10" x14ac:dyDescent="0.3">
      <c r="B10">
        <v>257</v>
      </c>
      <c r="D10">
        <v>267</v>
      </c>
      <c r="J10">
        <v>524</v>
      </c>
    </row>
    <row r="11" spans="2:10" x14ac:dyDescent="0.3">
      <c r="B11">
        <v>258</v>
      </c>
      <c r="D11">
        <v>268</v>
      </c>
      <c r="J11">
        <v>526</v>
      </c>
    </row>
    <row r="12" spans="2:10" x14ac:dyDescent="0.3">
      <c r="B12">
        <v>259</v>
      </c>
      <c r="D12">
        <v>269</v>
      </c>
      <c r="J12">
        <v>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6DA2-7C22-4B29-8B6D-FFB912A64443}">
  <dimension ref="B2:D27"/>
  <sheetViews>
    <sheetView workbookViewId="0">
      <selection activeCell="D3" sqref="D3"/>
    </sheetView>
  </sheetViews>
  <sheetFormatPr defaultRowHeight="14.4" x14ac:dyDescent="0.3"/>
  <sheetData>
    <row r="2" spans="2:4" x14ac:dyDescent="0.3">
      <c r="C2" t="s">
        <v>115</v>
      </c>
      <c r="D2" t="str" cm="1">
        <f t="array" ref="D2">_xll.RScript.CreateVector(C2, C3:C27, "Logical")</f>
        <v>logiv1</v>
      </c>
    </row>
    <row r="3" spans="2:4" x14ac:dyDescent="0.3">
      <c r="B3">
        <v>50</v>
      </c>
      <c r="C3" t="b">
        <f>IF(B3&lt;=50, TRUE, FALSE)</f>
        <v>1</v>
      </c>
    </row>
    <row r="4" spans="2:4" x14ac:dyDescent="0.3">
      <c r="B4">
        <v>58</v>
      </c>
      <c r="C4" t="b">
        <f t="shared" ref="C4:C27" si="0">IF(B4&lt;=50, TRUE, FALSE)</f>
        <v>0</v>
      </c>
    </row>
    <row r="5" spans="2:4" x14ac:dyDescent="0.3">
      <c r="B5">
        <v>75</v>
      </c>
      <c r="C5" t="b">
        <f t="shared" si="0"/>
        <v>0</v>
      </c>
    </row>
    <row r="6" spans="2:4" x14ac:dyDescent="0.3">
      <c r="B6">
        <v>63</v>
      </c>
      <c r="C6" t="b">
        <f t="shared" si="0"/>
        <v>0</v>
      </c>
    </row>
    <row r="7" spans="2:4" x14ac:dyDescent="0.3">
      <c r="B7">
        <v>96</v>
      </c>
      <c r="C7" t="b">
        <f t="shared" si="0"/>
        <v>0</v>
      </c>
    </row>
    <row r="8" spans="2:4" x14ac:dyDescent="0.3">
      <c r="B8">
        <v>36</v>
      </c>
      <c r="C8" t="b">
        <f t="shared" si="0"/>
        <v>1</v>
      </c>
    </row>
    <row r="9" spans="2:4" x14ac:dyDescent="0.3">
      <c r="B9">
        <v>54</v>
      </c>
      <c r="C9" t="b">
        <f t="shared" si="0"/>
        <v>0</v>
      </c>
    </row>
    <row r="10" spans="2:4" x14ac:dyDescent="0.3">
      <c r="B10">
        <v>15</v>
      </c>
      <c r="C10" t="b">
        <f t="shared" si="0"/>
        <v>1</v>
      </c>
    </row>
    <row r="11" spans="2:4" x14ac:dyDescent="0.3">
      <c r="B11">
        <v>100</v>
      </c>
      <c r="C11" t="b">
        <f t="shared" si="0"/>
        <v>0</v>
      </c>
    </row>
    <row r="12" spans="2:4" x14ac:dyDescent="0.3">
      <c r="B12">
        <v>36</v>
      </c>
      <c r="C12" t="b">
        <f t="shared" si="0"/>
        <v>1</v>
      </c>
    </row>
    <row r="13" spans="2:4" x14ac:dyDescent="0.3">
      <c r="B13">
        <v>12</v>
      </c>
      <c r="C13" t="b">
        <f t="shared" si="0"/>
        <v>1</v>
      </c>
    </row>
    <row r="14" spans="2:4" x14ac:dyDescent="0.3">
      <c r="B14">
        <v>100</v>
      </c>
      <c r="C14" t="b">
        <f t="shared" si="0"/>
        <v>0</v>
      </c>
    </row>
    <row r="15" spans="2:4" x14ac:dyDescent="0.3">
      <c r="B15">
        <v>78</v>
      </c>
      <c r="C15" t="b">
        <f t="shared" si="0"/>
        <v>0</v>
      </c>
    </row>
    <row r="16" spans="2:4" x14ac:dyDescent="0.3">
      <c r="B16">
        <v>30</v>
      </c>
      <c r="C16" t="b">
        <f t="shared" si="0"/>
        <v>1</v>
      </c>
    </row>
    <row r="17" spans="2:3" x14ac:dyDescent="0.3">
      <c r="B17">
        <v>20</v>
      </c>
      <c r="C17" t="b">
        <f t="shared" si="0"/>
        <v>1</v>
      </c>
    </row>
    <row r="18" spans="2:3" x14ac:dyDescent="0.3">
      <c r="B18">
        <v>57</v>
      </c>
      <c r="C18" t="b">
        <f t="shared" si="0"/>
        <v>0</v>
      </c>
    </row>
    <row r="19" spans="2:3" x14ac:dyDescent="0.3">
      <c r="B19">
        <v>29</v>
      </c>
      <c r="C19" t="b">
        <f t="shared" si="0"/>
        <v>1</v>
      </c>
    </row>
    <row r="20" spans="2:3" x14ac:dyDescent="0.3">
      <c r="B20">
        <v>53</v>
      </c>
      <c r="C20" t="b">
        <f t="shared" si="0"/>
        <v>0</v>
      </c>
    </row>
    <row r="21" spans="2:3" x14ac:dyDescent="0.3">
      <c r="B21">
        <v>87</v>
      </c>
      <c r="C21" t="b">
        <f t="shared" si="0"/>
        <v>0</v>
      </c>
    </row>
    <row r="22" spans="2:3" x14ac:dyDescent="0.3">
      <c r="B22">
        <v>91</v>
      </c>
      <c r="C22" t="b">
        <f t="shared" si="0"/>
        <v>0</v>
      </c>
    </row>
    <row r="23" spans="2:3" x14ac:dyDescent="0.3">
      <c r="B23">
        <v>37</v>
      </c>
      <c r="C23" t="b">
        <f t="shared" si="0"/>
        <v>1</v>
      </c>
    </row>
    <row r="24" spans="2:3" x14ac:dyDescent="0.3">
      <c r="B24">
        <v>30</v>
      </c>
      <c r="C24" t="b">
        <f t="shared" si="0"/>
        <v>1</v>
      </c>
    </row>
    <row r="25" spans="2:3" x14ac:dyDescent="0.3">
      <c r="B25">
        <v>78</v>
      </c>
      <c r="C25" t="b">
        <f t="shared" si="0"/>
        <v>0</v>
      </c>
    </row>
    <row r="26" spans="2:3" x14ac:dyDescent="0.3">
      <c r="B26">
        <v>25</v>
      </c>
      <c r="C26" t="b">
        <f t="shared" si="0"/>
        <v>1</v>
      </c>
    </row>
    <row r="27" spans="2:3" x14ac:dyDescent="0.3">
      <c r="B27">
        <v>40</v>
      </c>
      <c r="C27" t="b">
        <f t="shared" si="0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E6EC-696D-4A6C-A927-29C0FA07E8BD}">
  <dimension ref="C2:J102"/>
  <sheetViews>
    <sheetView workbookViewId="0">
      <selection activeCell="I3" sqref="I3"/>
    </sheetView>
  </sheetViews>
  <sheetFormatPr defaultRowHeight="14.4" x14ac:dyDescent="0.3"/>
  <cols>
    <col min="6" max="6" width="18.21875" customWidth="1"/>
    <col min="8" max="8" width="18.77734375" customWidth="1"/>
  </cols>
  <sheetData>
    <row r="2" spans="3:10" x14ac:dyDescent="0.3">
      <c r="C2" t="str" cm="1">
        <f t="array" ref="C2">_xll.RScript.CreateVector("dblv1",C3:C102, "Numeric")</f>
        <v>dblv1</v>
      </c>
      <c r="D2" t="str" cm="1">
        <f t="array" ref="D2">_xll.RScript.CreateVector("dblv2",D3:D102, "Numeric")</f>
        <v>dblv2</v>
      </c>
      <c r="H2" t="str">
        <f>"dblv3 = "&amp;C2&amp;" + "&amp;D2</f>
        <v>dblv3 = dblv1 + dblv2</v>
      </c>
      <c r="I2" t="str" cm="1">
        <f t="array" ref="I2">_xll.RScript.Evaluate(H2)</f>
        <v>dblv3</v>
      </c>
    </row>
    <row r="3" spans="3:10" x14ac:dyDescent="0.3">
      <c r="C3">
        <v>-1.2563</v>
      </c>
      <c r="D3">
        <v>-0.5202</v>
      </c>
      <c r="F3" cm="1">
        <f t="array" ref="F3:F102">C3:C102+D3:D102</f>
        <v>-1.7765</v>
      </c>
      <c r="H3" cm="1">
        <f t="array" ref="H3:H102">_xll.RScript.Evaluate(I2)</f>
        <v>-1.7765</v>
      </c>
      <c r="J3">
        <f>F3-H3</f>
        <v>0</v>
      </c>
    </row>
    <row r="4" spans="3:10" x14ac:dyDescent="0.3">
      <c r="C4">
        <v>0.25850000000000001</v>
      </c>
      <c r="D4">
        <v>0.53879999999999995</v>
      </c>
      <c r="F4">
        <v>0.7972999999999999</v>
      </c>
      <c r="H4">
        <v>0.7972999999999999</v>
      </c>
      <c r="J4">
        <f t="shared" ref="J4:J67" si="0">F4-H4</f>
        <v>0</v>
      </c>
    </row>
    <row r="5" spans="3:10" x14ac:dyDescent="0.3">
      <c r="C5">
        <v>2.2038000000000002</v>
      </c>
      <c r="D5">
        <v>0.22509999999999999</v>
      </c>
      <c r="F5">
        <v>2.4289000000000001</v>
      </c>
      <c r="H5">
        <v>2.4289000000000001</v>
      </c>
      <c r="J5">
        <f t="shared" si="0"/>
        <v>0</v>
      </c>
    </row>
    <row r="6" spans="3:10" x14ac:dyDescent="0.3">
      <c r="C6">
        <v>-4.7899999999999998E-2</v>
      </c>
      <c r="D6">
        <v>-1.5559000000000001</v>
      </c>
      <c r="F6">
        <v>-1.6038000000000001</v>
      </c>
      <c r="H6">
        <v>-1.6038000000000001</v>
      </c>
      <c r="J6">
        <f t="shared" si="0"/>
        <v>0</v>
      </c>
    </row>
    <row r="7" spans="3:10" x14ac:dyDescent="0.3">
      <c r="C7">
        <v>-2.2372000000000001</v>
      </c>
      <c r="D7">
        <v>-0.2356</v>
      </c>
      <c r="F7">
        <v>-2.4727999999999999</v>
      </c>
      <c r="H7">
        <v>-2.4727999999999999</v>
      </c>
      <c r="J7">
        <f t="shared" si="0"/>
        <v>0</v>
      </c>
    </row>
    <row r="8" spans="3:10" x14ac:dyDescent="0.3">
      <c r="C8">
        <v>-2.41E-2</v>
      </c>
      <c r="D8">
        <v>1.109</v>
      </c>
      <c r="F8">
        <v>1.0849</v>
      </c>
      <c r="H8">
        <v>1.0849</v>
      </c>
      <c r="J8">
        <f t="shared" si="0"/>
        <v>0</v>
      </c>
    </row>
    <row r="9" spans="3:10" x14ac:dyDescent="0.3">
      <c r="C9">
        <v>-1.8789</v>
      </c>
      <c r="D9">
        <v>-0.16139999999999999</v>
      </c>
      <c r="F9">
        <v>-2.0403000000000002</v>
      </c>
      <c r="H9">
        <v>-2.0403000000000002</v>
      </c>
      <c r="J9">
        <f t="shared" si="0"/>
        <v>0</v>
      </c>
    </row>
    <row r="10" spans="3:10" x14ac:dyDescent="0.3">
      <c r="C10">
        <v>-1.2418</v>
      </c>
      <c r="D10">
        <v>0.75160000000000005</v>
      </c>
      <c r="F10">
        <v>-0.49019999999999997</v>
      </c>
      <c r="H10">
        <v>-0.49019999999999997</v>
      </c>
      <c r="J10">
        <f t="shared" si="0"/>
        <v>0</v>
      </c>
    </row>
    <row r="11" spans="3:10" x14ac:dyDescent="0.3">
      <c r="C11">
        <v>0.26129999999999998</v>
      </c>
      <c r="D11">
        <v>-1.4068000000000001</v>
      </c>
      <c r="F11">
        <v>-1.1455000000000002</v>
      </c>
      <c r="H11">
        <v>-1.1455000000000002</v>
      </c>
      <c r="J11">
        <f t="shared" si="0"/>
        <v>0</v>
      </c>
    </row>
    <row r="12" spans="3:10" x14ac:dyDescent="0.3">
      <c r="C12">
        <v>-0.81730000000000003</v>
      </c>
      <c r="D12">
        <v>-0.62480000000000002</v>
      </c>
      <c r="F12">
        <v>-1.4420999999999999</v>
      </c>
      <c r="H12">
        <v>-1.4420999999999999</v>
      </c>
      <c r="J12">
        <f t="shared" si="0"/>
        <v>0</v>
      </c>
    </row>
    <row r="13" spans="3:10" x14ac:dyDescent="0.3">
      <c r="C13">
        <v>-1.4887999999999999</v>
      </c>
      <c r="D13">
        <v>0.75219999999999998</v>
      </c>
      <c r="F13">
        <v>-0.73659999999999992</v>
      </c>
      <c r="H13">
        <v>-0.73659999999999992</v>
      </c>
      <c r="J13">
        <f t="shared" si="0"/>
        <v>0</v>
      </c>
    </row>
    <row r="14" spans="3:10" x14ac:dyDescent="0.3">
      <c r="C14">
        <v>1.2095</v>
      </c>
      <c r="D14">
        <v>-9.6299999999999997E-2</v>
      </c>
      <c r="F14">
        <v>1.1132</v>
      </c>
      <c r="H14">
        <v>1.1132</v>
      </c>
      <c r="J14">
        <f t="shared" si="0"/>
        <v>0</v>
      </c>
    </row>
    <row r="15" spans="3:10" x14ac:dyDescent="0.3">
      <c r="C15">
        <v>1.1444000000000001</v>
      </c>
      <c r="D15">
        <v>1.6305000000000001</v>
      </c>
      <c r="F15">
        <v>2.7749000000000001</v>
      </c>
      <c r="H15">
        <v>2.7749000000000001</v>
      </c>
      <c r="J15">
        <f t="shared" si="0"/>
        <v>0</v>
      </c>
    </row>
    <row r="16" spans="3:10" x14ac:dyDescent="0.3">
      <c r="C16">
        <v>-0.89629999999999999</v>
      </c>
      <c r="D16">
        <v>-1.1457999999999999</v>
      </c>
      <c r="F16">
        <v>-2.0421</v>
      </c>
      <c r="H16">
        <v>-2.0421</v>
      </c>
      <c r="J16">
        <f t="shared" si="0"/>
        <v>0</v>
      </c>
    </row>
    <row r="17" spans="3:10" x14ac:dyDescent="0.3">
      <c r="C17">
        <v>-0.66659999999999997</v>
      </c>
      <c r="D17">
        <v>0.93169999999999997</v>
      </c>
      <c r="F17">
        <v>0.2651</v>
      </c>
      <c r="H17">
        <v>0.2651</v>
      </c>
      <c r="J17">
        <f t="shared" si="0"/>
        <v>0</v>
      </c>
    </row>
    <row r="18" spans="3:10" x14ac:dyDescent="0.3">
      <c r="C18">
        <v>7.3700000000000002E-2</v>
      </c>
      <c r="D18">
        <v>-0.36380000000000001</v>
      </c>
      <c r="F18">
        <v>-0.29010000000000002</v>
      </c>
      <c r="H18">
        <v>-0.29010000000000002</v>
      </c>
      <c r="J18">
        <f t="shared" si="0"/>
        <v>0</v>
      </c>
    </row>
    <row r="19" spans="3:10" x14ac:dyDescent="0.3">
      <c r="C19">
        <v>4.7899999999999998E-2</v>
      </c>
      <c r="D19">
        <v>-0.88090000000000002</v>
      </c>
      <c r="F19">
        <v>-0.83299999999999996</v>
      </c>
      <c r="H19">
        <v>-0.83299999999999996</v>
      </c>
      <c r="J19">
        <f t="shared" si="0"/>
        <v>0</v>
      </c>
    </row>
    <row r="20" spans="3:10" x14ac:dyDescent="0.3">
      <c r="C20">
        <v>2.1492</v>
      </c>
      <c r="D20">
        <v>-1.3008999999999999</v>
      </c>
      <c r="F20">
        <v>0.84830000000000005</v>
      </c>
      <c r="H20">
        <v>0.84830000000000005</v>
      </c>
      <c r="J20">
        <f t="shared" si="0"/>
        <v>0</v>
      </c>
    </row>
    <row r="21" spans="3:10" x14ac:dyDescent="0.3">
      <c r="C21">
        <v>-2.1591</v>
      </c>
      <c r="D21">
        <v>-0.34470000000000001</v>
      </c>
      <c r="F21">
        <v>-2.5038</v>
      </c>
      <c r="H21">
        <v>-2.5038</v>
      </c>
      <c r="J21">
        <f t="shared" si="0"/>
        <v>0</v>
      </c>
    </row>
    <row r="22" spans="3:10" x14ac:dyDescent="0.3">
      <c r="C22">
        <v>-0.95269999999999999</v>
      </c>
      <c r="D22">
        <v>1.302</v>
      </c>
      <c r="F22">
        <v>0.34930000000000005</v>
      </c>
      <c r="H22">
        <v>0.34930000000000005</v>
      </c>
      <c r="J22">
        <f t="shared" si="0"/>
        <v>0</v>
      </c>
    </row>
    <row r="23" spans="3:10" x14ac:dyDescent="0.3">
      <c r="C23">
        <v>1.468</v>
      </c>
      <c r="D23">
        <v>6.83E-2</v>
      </c>
      <c r="F23">
        <v>1.5363</v>
      </c>
      <c r="H23">
        <v>1.5363</v>
      </c>
      <c r="J23">
        <f t="shared" si="0"/>
        <v>0</v>
      </c>
    </row>
    <row r="24" spans="3:10" x14ac:dyDescent="0.3">
      <c r="C24">
        <v>2.7799999999999998E-2</v>
      </c>
      <c r="D24">
        <v>-0.86780000000000002</v>
      </c>
      <c r="F24">
        <v>-0.84</v>
      </c>
      <c r="H24">
        <v>-0.84</v>
      </c>
      <c r="J24">
        <f t="shared" si="0"/>
        <v>0</v>
      </c>
    </row>
    <row r="25" spans="3:10" x14ac:dyDescent="0.3">
      <c r="C25">
        <v>-1.7741</v>
      </c>
      <c r="D25">
        <v>2.0992999999999999</v>
      </c>
      <c r="F25">
        <v>0.32519999999999993</v>
      </c>
      <c r="H25">
        <v>0.32519999999999993</v>
      </c>
      <c r="J25">
        <f t="shared" si="0"/>
        <v>0</v>
      </c>
    </row>
    <row r="26" spans="3:10" x14ac:dyDescent="0.3">
      <c r="C26">
        <v>0.88190000000000002</v>
      </c>
      <c r="D26">
        <v>0.93579999999999997</v>
      </c>
      <c r="F26">
        <v>1.8176999999999999</v>
      </c>
      <c r="H26">
        <v>1.8176999999999999</v>
      </c>
      <c r="J26">
        <f t="shared" si="0"/>
        <v>0</v>
      </c>
    </row>
    <row r="27" spans="3:10" x14ac:dyDescent="0.3">
      <c r="C27">
        <v>1.2302</v>
      </c>
      <c r="D27">
        <v>2.8332999999999999</v>
      </c>
      <c r="F27">
        <v>4.0634999999999994</v>
      </c>
      <c r="H27">
        <v>4.0634999999999994</v>
      </c>
      <c r="J27">
        <f t="shared" si="0"/>
        <v>0</v>
      </c>
    </row>
    <row r="28" spans="3:10" x14ac:dyDescent="0.3">
      <c r="C28">
        <v>0.49469999999999997</v>
      </c>
      <c r="D28">
        <v>-1.0908</v>
      </c>
      <c r="F28">
        <v>-0.59610000000000007</v>
      </c>
      <c r="H28">
        <v>-0.59610000000000007</v>
      </c>
      <c r="J28">
        <f t="shared" si="0"/>
        <v>0</v>
      </c>
    </row>
    <row r="29" spans="3:10" x14ac:dyDescent="0.3">
      <c r="C29">
        <v>0.84870000000000001</v>
      </c>
      <c r="D29">
        <v>-0.18679999999999999</v>
      </c>
      <c r="F29">
        <v>0.66190000000000004</v>
      </c>
      <c r="H29">
        <v>0.66190000000000004</v>
      </c>
      <c r="J29">
        <f t="shared" si="0"/>
        <v>0</v>
      </c>
    </row>
    <row r="30" spans="3:10" x14ac:dyDescent="0.3">
      <c r="C30">
        <v>-0.63970000000000005</v>
      </c>
      <c r="D30">
        <v>-1.3940999999999999</v>
      </c>
      <c r="F30">
        <v>-2.0337999999999998</v>
      </c>
      <c r="H30">
        <v>-2.0337999999999998</v>
      </c>
      <c r="J30">
        <f t="shared" si="0"/>
        <v>0</v>
      </c>
    </row>
    <row r="31" spans="3:10" x14ac:dyDescent="0.3">
      <c r="C31">
        <v>1.4814000000000001</v>
      </c>
      <c r="D31">
        <v>0.31119999999999998</v>
      </c>
      <c r="F31">
        <v>1.7926</v>
      </c>
      <c r="H31">
        <v>1.7926</v>
      </c>
      <c r="J31">
        <f t="shared" si="0"/>
        <v>0</v>
      </c>
    </row>
    <row r="32" spans="3:10" x14ac:dyDescent="0.3">
      <c r="C32">
        <v>0.26</v>
      </c>
      <c r="D32">
        <v>-1.7434000000000001</v>
      </c>
      <c r="F32">
        <v>-1.4834000000000001</v>
      </c>
      <c r="H32">
        <v>-1.4834000000000001</v>
      </c>
      <c r="J32">
        <f t="shared" si="0"/>
        <v>0</v>
      </c>
    </row>
    <row r="33" spans="3:10" x14ac:dyDescent="0.3">
      <c r="C33">
        <v>-1.0053000000000001</v>
      </c>
      <c r="D33">
        <v>1.0441</v>
      </c>
      <c r="F33">
        <v>3.8799999999999946E-2</v>
      </c>
      <c r="H33">
        <v>3.8799999999999946E-2</v>
      </c>
      <c r="J33">
        <f t="shared" si="0"/>
        <v>0</v>
      </c>
    </row>
    <row r="34" spans="3:10" x14ac:dyDescent="0.3">
      <c r="C34">
        <v>-0.31080000000000002</v>
      </c>
      <c r="D34">
        <v>-0.65010000000000001</v>
      </c>
      <c r="F34">
        <v>-0.96090000000000009</v>
      </c>
      <c r="H34">
        <v>-0.96090000000000009</v>
      </c>
      <c r="J34">
        <f t="shared" si="0"/>
        <v>0</v>
      </c>
    </row>
    <row r="35" spans="3:10" x14ac:dyDescent="0.3">
      <c r="C35">
        <v>0.31230000000000002</v>
      </c>
      <c r="D35">
        <v>-0.44180000000000003</v>
      </c>
      <c r="F35">
        <v>-0.1295</v>
      </c>
      <c r="H35">
        <v>-0.1295</v>
      </c>
      <c r="J35">
        <f t="shared" si="0"/>
        <v>0</v>
      </c>
    </row>
    <row r="36" spans="3:10" x14ac:dyDescent="0.3">
      <c r="C36">
        <v>-0.1293</v>
      </c>
      <c r="D36">
        <v>-0.39219999999999999</v>
      </c>
      <c r="F36">
        <v>-0.52149999999999996</v>
      </c>
      <c r="H36">
        <v>-0.52149999999999996</v>
      </c>
      <c r="J36">
        <f t="shared" si="0"/>
        <v>0</v>
      </c>
    </row>
    <row r="37" spans="3:10" x14ac:dyDescent="0.3">
      <c r="C37">
        <v>-0.8427</v>
      </c>
      <c r="D37">
        <v>-0.43120000000000003</v>
      </c>
      <c r="F37">
        <v>-1.2739</v>
      </c>
      <c r="H37">
        <v>-1.2739</v>
      </c>
      <c r="J37">
        <f t="shared" si="0"/>
        <v>0</v>
      </c>
    </row>
    <row r="38" spans="3:10" x14ac:dyDescent="0.3">
      <c r="C38">
        <v>0.1966</v>
      </c>
      <c r="D38">
        <v>0.57410000000000005</v>
      </c>
      <c r="F38">
        <v>0.77070000000000005</v>
      </c>
      <c r="H38">
        <v>0.77070000000000005</v>
      </c>
      <c r="J38">
        <f t="shared" si="0"/>
        <v>0</v>
      </c>
    </row>
    <row r="39" spans="3:10" x14ac:dyDescent="0.3">
      <c r="C39">
        <v>-0.93269999999999997</v>
      </c>
      <c r="D39">
        <v>0.30930000000000002</v>
      </c>
      <c r="F39">
        <v>-0.62339999999999995</v>
      </c>
      <c r="H39">
        <v>-0.62339999999999995</v>
      </c>
      <c r="J39">
        <f t="shared" si="0"/>
        <v>0</v>
      </c>
    </row>
    <row r="40" spans="3:10" x14ac:dyDescent="0.3">
      <c r="C40">
        <v>0.78949999999999998</v>
      </c>
      <c r="D40">
        <v>-0.63580000000000003</v>
      </c>
      <c r="F40">
        <v>0.15369999999999995</v>
      </c>
      <c r="H40">
        <v>0.15369999999999995</v>
      </c>
      <c r="J40">
        <f t="shared" si="0"/>
        <v>0</v>
      </c>
    </row>
    <row r="41" spans="3:10" x14ac:dyDescent="0.3">
      <c r="C41">
        <v>-1.9551000000000001</v>
      </c>
      <c r="D41">
        <v>1.4153</v>
      </c>
      <c r="F41">
        <v>-0.53980000000000006</v>
      </c>
      <c r="H41">
        <v>-0.53980000000000006</v>
      </c>
      <c r="J41">
        <f t="shared" si="0"/>
        <v>0</v>
      </c>
    </row>
    <row r="42" spans="3:10" x14ac:dyDescent="0.3">
      <c r="C42">
        <v>-9.4799999999999995E-2</v>
      </c>
      <c r="D42">
        <v>-2.0596999999999999</v>
      </c>
      <c r="F42">
        <v>-2.1544999999999996</v>
      </c>
      <c r="H42">
        <v>-2.1544999999999996</v>
      </c>
      <c r="J42">
        <f t="shared" si="0"/>
        <v>0</v>
      </c>
    </row>
    <row r="43" spans="3:10" x14ac:dyDescent="0.3">
      <c r="C43">
        <v>-0.92989999999999995</v>
      </c>
      <c r="D43">
        <v>0.59519999999999995</v>
      </c>
      <c r="F43">
        <v>-0.3347</v>
      </c>
      <c r="H43">
        <v>-0.3347</v>
      </c>
      <c r="J43">
        <f t="shared" si="0"/>
        <v>0</v>
      </c>
    </row>
    <row r="44" spans="3:10" x14ac:dyDescent="0.3">
      <c r="C44">
        <v>0.72260000000000002</v>
      </c>
      <c r="D44">
        <v>-0.42049999999999998</v>
      </c>
      <c r="F44">
        <v>0.30210000000000004</v>
      </c>
      <c r="H44">
        <v>0.30210000000000004</v>
      </c>
      <c r="J44">
        <f t="shared" si="0"/>
        <v>0</v>
      </c>
    </row>
    <row r="45" spans="3:10" x14ac:dyDescent="0.3">
      <c r="C45">
        <v>-0.54059999999999997</v>
      </c>
      <c r="D45">
        <v>0.85060000000000002</v>
      </c>
      <c r="F45">
        <v>0.31000000000000005</v>
      </c>
      <c r="H45">
        <v>0.31000000000000005</v>
      </c>
      <c r="J45">
        <f t="shared" si="0"/>
        <v>0</v>
      </c>
    </row>
    <row r="46" spans="3:10" x14ac:dyDescent="0.3">
      <c r="C46">
        <v>0.84030000000000005</v>
      </c>
      <c r="D46">
        <v>-0.97070000000000001</v>
      </c>
      <c r="F46">
        <v>-0.13039999999999996</v>
      </c>
      <c r="H46">
        <v>-0.13039999999999996</v>
      </c>
      <c r="J46">
        <f t="shared" si="0"/>
        <v>0</v>
      </c>
    </row>
    <row r="47" spans="3:10" x14ac:dyDescent="0.3">
      <c r="C47">
        <v>0.87090000000000001</v>
      </c>
      <c r="D47">
        <v>1.7383999999999999</v>
      </c>
      <c r="F47">
        <v>2.6093000000000002</v>
      </c>
      <c r="H47">
        <v>2.6093000000000002</v>
      </c>
      <c r="J47">
        <f t="shared" si="0"/>
        <v>0</v>
      </c>
    </row>
    <row r="48" spans="3:10" x14ac:dyDescent="0.3">
      <c r="C48">
        <v>-0.31430000000000002</v>
      </c>
      <c r="D48">
        <v>0.15840000000000001</v>
      </c>
      <c r="F48">
        <v>-0.15590000000000001</v>
      </c>
      <c r="H48">
        <v>-0.15590000000000001</v>
      </c>
      <c r="J48">
        <f t="shared" si="0"/>
        <v>0</v>
      </c>
    </row>
    <row r="49" spans="3:10" x14ac:dyDescent="0.3">
      <c r="C49">
        <v>-1.9728000000000001</v>
      </c>
      <c r="D49">
        <v>5.3400000000000003E-2</v>
      </c>
      <c r="F49">
        <v>-1.9194</v>
      </c>
      <c r="H49">
        <v>-1.9194</v>
      </c>
      <c r="J49">
        <f t="shared" si="0"/>
        <v>0</v>
      </c>
    </row>
    <row r="50" spans="3:10" x14ac:dyDescent="0.3">
      <c r="C50">
        <v>-1.0250999999999999</v>
      </c>
      <c r="D50">
        <v>0.20710000000000001</v>
      </c>
      <c r="F50">
        <v>-0.81799999999999984</v>
      </c>
      <c r="H50">
        <v>-0.81799999999999984</v>
      </c>
      <c r="J50">
        <f t="shared" si="0"/>
        <v>0</v>
      </c>
    </row>
    <row r="51" spans="3:10" x14ac:dyDescent="0.3">
      <c r="C51">
        <v>-0.66720000000000002</v>
      </c>
      <c r="D51">
        <v>1.1205000000000001</v>
      </c>
      <c r="F51">
        <v>0.45330000000000004</v>
      </c>
      <c r="H51">
        <v>0.45330000000000004</v>
      </c>
      <c r="J51">
        <f t="shared" si="0"/>
        <v>0</v>
      </c>
    </row>
    <row r="52" spans="3:10" x14ac:dyDescent="0.3">
      <c r="C52">
        <v>-2.0192999999999999</v>
      </c>
      <c r="D52">
        <v>-0.97670000000000001</v>
      </c>
      <c r="F52">
        <v>-2.996</v>
      </c>
      <c r="H52">
        <v>-2.996</v>
      </c>
      <c r="J52">
        <f t="shared" si="0"/>
        <v>0</v>
      </c>
    </row>
    <row r="53" spans="3:10" x14ac:dyDescent="0.3">
      <c r="C53">
        <v>-2.6996000000000002</v>
      </c>
      <c r="D53">
        <v>-0.1482</v>
      </c>
      <c r="F53">
        <v>-2.8478000000000003</v>
      </c>
      <c r="H53">
        <v>-2.8478000000000003</v>
      </c>
      <c r="J53">
        <f t="shared" si="0"/>
        <v>0</v>
      </c>
    </row>
    <row r="54" spans="3:10" x14ac:dyDescent="0.3">
      <c r="C54">
        <v>-0.57709999999999995</v>
      </c>
      <c r="D54">
        <v>-1.08</v>
      </c>
      <c r="F54">
        <v>-1.6571</v>
      </c>
      <c r="H54">
        <v>-1.6571</v>
      </c>
      <c r="J54">
        <f t="shared" si="0"/>
        <v>0</v>
      </c>
    </row>
    <row r="55" spans="3:10" x14ac:dyDescent="0.3">
      <c r="C55">
        <v>0.71099999999999997</v>
      </c>
      <c r="D55">
        <v>0.48010000000000003</v>
      </c>
      <c r="F55">
        <v>1.1911</v>
      </c>
      <c r="H55">
        <v>1.1911</v>
      </c>
      <c r="J55">
        <f t="shared" si="0"/>
        <v>0</v>
      </c>
    </row>
    <row r="56" spans="3:10" x14ac:dyDescent="0.3">
      <c r="C56">
        <v>0.22559999999999999</v>
      </c>
      <c r="D56">
        <v>0.69340000000000002</v>
      </c>
      <c r="F56">
        <v>0.91900000000000004</v>
      </c>
      <c r="H56">
        <v>0.91900000000000004</v>
      </c>
      <c r="J56">
        <f t="shared" si="0"/>
        <v>0</v>
      </c>
    </row>
    <row r="57" spans="3:10" x14ac:dyDescent="0.3">
      <c r="C57">
        <v>-1.4704999999999999</v>
      </c>
      <c r="D57">
        <v>3.0297999999999998</v>
      </c>
      <c r="F57">
        <v>1.5592999999999999</v>
      </c>
      <c r="H57">
        <v>1.5592999999999999</v>
      </c>
      <c r="J57">
        <f t="shared" si="0"/>
        <v>0</v>
      </c>
    </row>
    <row r="58" spans="3:10" x14ac:dyDescent="0.3">
      <c r="C58">
        <v>1.1694</v>
      </c>
      <c r="D58">
        <v>0.78549999999999998</v>
      </c>
      <c r="F58">
        <v>1.9548999999999999</v>
      </c>
      <c r="H58">
        <v>1.9548999999999999</v>
      </c>
      <c r="J58">
        <f t="shared" si="0"/>
        <v>0</v>
      </c>
    </row>
    <row r="59" spans="3:10" x14ac:dyDescent="0.3">
      <c r="C59">
        <v>0.55710000000000004</v>
      </c>
      <c r="D59">
        <v>-0.76149999999999995</v>
      </c>
      <c r="F59">
        <v>-0.20439999999999992</v>
      </c>
      <c r="H59">
        <v>-0.20439999999999992</v>
      </c>
      <c r="J59">
        <f t="shared" si="0"/>
        <v>0</v>
      </c>
    </row>
    <row r="60" spans="3:10" x14ac:dyDescent="0.3">
      <c r="C60">
        <v>1.0063</v>
      </c>
      <c r="D60">
        <v>-1.6597</v>
      </c>
      <c r="F60">
        <v>-0.65339999999999998</v>
      </c>
      <c r="H60">
        <v>-0.65339999999999998</v>
      </c>
      <c r="J60">
        <f t="shared" si="0"/>
        <v>0</v>
      </c>
    </row>
    <row r="61" spans="3:10" x14ac:dyDescent="0.3">
      <c r="C61">
        <v>0.37290000000000001</v>
      </c>
      <c r="D61">
        <v>0.3992</v>
      </c>
      <c r="F61">
        <v>0.77210000000000001</v>
      </c>
      <c r="H61">
        <v>0.77210000000000001</v>
      </c>
      <c r="J61">
        <f t="shared" si="0"/>
        <v>0</v>
      </c>
    </row>
    <row r="62" spans="3:10" x14ac:dyDescent="0.3">
      <c r="C62">
        <v>-1.1835</v>
      </c>
      <c r="D62">
        <v>-3.0000000000000001E-3</v>
      </c>
      <c r="F62">
        <v>-1.1864999999999999</v>
      </c>
      <c r="H62">
        <v>-1.1864999999999999</v>
      </c>
      <c r="J62">
        <f t="shared" si="0"/>
        <v>0</v>
      </c>
    </row>
    <row r="63" spans="3:10" x14ac:dyDescent="0.3">
      <c r="C63">
        <v>-0.93220000000000003</v>
      </c>
      <c r="D63">
        <v>-1.5266</v>
      </c>
      <c r="F63">
        <v>-2.4588000000000001</v>
      </c>
      <c r="H63">
        <v>-2.4588000000000001</v>
      </c>
      <c r="J63">
        <f t="shared" si="0"/>
        <v>0</v>
      </c>
    </row>
    <row r="64" spans="3:10" x14ac:dyDescent="0.3">
      <c r="C64">
        <v>-1.3561000000000001</v>
      </c>
      <c r="D64">
        <v>-1.4098999999999999</v>
      </c>
      <c r="F64">
        <v>-2.766</v>
      </c>
      <c r="H64">
        <v>-2.766</v>
      </c>
      <c r="J64">
        <f t="shared" si="0"/>
        <v>0</v>
      </c>
    </row>
    <row r="65" spans="3:10" x14ac:dyDescent="0.3">
      <c r="C65">
        <v>0.90780000000000005</v>
      </c>
      <c r="D65">
        <v>-0.51300000000000001</v>
      </c>
      <c r="F65">
        <v>0.39480000000000004</v>
      </c>
      <c r="H65">
        <v>0.39480000000000004</v>
      </c>
      <c r="J65">
        <f t="shared" si="0"/>
        <v>0</v>
      </c>
    </row>
    <row r="66" spans="3:10" x14ac:dyDescent="0.3">
      <c r="C66">
        <v>0.49180000000000001</v>
      </c>
      <c r="D66">
        <v>1.3229</v>
      </c>
      <c r="F66">
        <v>1.8147</v>
      </c>
      <c r="H66">
        <v>1.8147</v>
      </c>
      <c r="J66">
        <f t="shared" si="0"/>
        <v>0</v>
      </c>
    </row>
    <row r="67" spans="3:10" x14ac:dyDescent="0.3">
      <c r="C67">
        <v>-0.35630000000000001</v>
      </c>
      <c r="D67">
        <v>-0.29430000000000001</v>
      </c>
      <c r="F67">
        <v>-0.65060000000000007</v>
      </c>
      <c r="H67">
        <v>-0.65060000000000007</v>
      </c>
      <c r="J67">
        <f t="shared" si="0"/>
        <v>0</v>
      </c>
    </row>
    <row r="68" spans="3:10" x14ac:dyDescent="0.3">
      <c r="C68">
        <v>1.0147999999999999</v>
      </c>
      <c r="D68">
        <v>-1.5088999999999999</v>
      </c>
      <c r="F68">
        <v>-0.49409999999999998</v>
      </c>
      <c r="H68">
        <v>-0.49409999999999998</v>
      </c>
      <c r="J68">
        <f t="shared" ref="J68:J102" si="1">F68-H68</f>
        <v>0</v>
      </c>
    </row>
    <row r="69" spans="3:10" x14ac:dyDescent="0.3">
      <c r="C69">
        <v>0.29730000000000001</v>
      </c>
      <c r="D69">
        <v>0.2467</v>
      </c>
      <c r="F69">
        <v>0.54400000000000004</v>
      </c>
      <c r="H69">
        <v>0.54400000000000004</v>
      </c>
      <c r="J69">
        <f t="shared" si="1"/>
        <v>0</v>
      </c>
    </row>
    <row r="70" spans="3:10" x14ac:dyDescent="0.3">
      <c r="C70">
        <v>-0.96040000000000003</v>
      </c>
      <c r="D70">
        <v>1.8648</v>
      </c>
      <c r="F70">
        <v>0.90439999999999998</v>
      </c>
      <c r="H70">
        <v>0.90439999999999998</v>
      </c>
      <c r="J70">
        <f t="shared" si="1"/>
        <v>0</v>
      </c>
    </row>
    <row r="71" spans="3:10" x14ac:dyDescent="0.3">
      <c r="C71">
        <v>0.86219999999999997</v>
      </c>
      <c r="D71">
        <v>0.51470000000000005</v>
      </c>
      <c r="F71">
        <v>1.3769</v>
      </c>
      <c r="H71">
        <v>1.3769</v>
      </c>
      <c r="J71">
        <f t="shared" si="1"/>
        <v>0</v>
      </c>
    </row>
    <row r="72" spans="3:10" x14ac:dyDescent="0.3">
      <c r="C72">
        <v>0.41489999999999999</v>
      </c>
      <c r="D72">
        <v>-0.42730000000000001</v>
      </c>
      <c r="F72">
        <v>-1.2400000000000022E-2</v>
      </c>
      <c r="H72">
        <v>-1.2400000000000022E-2</v>
      </c>
      <c r="J72">
        <f t="shared" si="1"/>
        <v>0</v>
      </c>
    </row>
    <row r="73" spans="3:10" x14ac:dyDescent="0.3">
      <c r="C73">
        <v>0.5554</v>
      </c>
      <c r="D73">
        <v>0.94259999999999999</v>
      </c>
      <c r="F73">
        <v>1.498</v>
      </c>
      <c r="H73">
        <v>1.498</v>
      </c>
      <c r="J73">
        <f t="shared" si="1"/>
        <v>0</v>
      </c>
    </row>
    <row r="74" spans="3:10" x14ac:dyDescent="0.3">
      <c r="C74">
        <v>-0.12640000000000001</v>
      </c>
      <c r="D74">
        <v>0.45619999999999999</v>
      </c>
      <c r="F74">
        <v>0.32979999999999998</v>
      </c>
      <c r="H74">
        <v>0.32979999999999998</v>
      </c>
      <c r="J74">
        <f t="shared" si="1"/>
        <v>0</v>
      </c>
    </row>
    <row r="75" spans="3:10" x14ac:dyDescent="0.3">
      <c r="C75">
        <v>-0.31990000000000002</v>
      </c>
      <c r="D75">
        <v>1.5327999999999999</v>
      </c>
      <c r="F75">
        <v>1.2128999999999999</v>
      </c>
      <c r="H75">
        <v>1.2128999999999999</v>
      </c>
      <c r="J75">
        <f t="shared" si="1"/>
        <v>0</v>
      </c>
    </row>
    <row r="76" spans="3:10" x14ac:dyDescent="0.3">
      <c r="C76">
        <v>-0.1588</v>
      </c>
      <c r="D76">
        <v>0.35880000000000001</v>
      </c>
      <c r="F76">
        <v>0.2</v>
      </c>
      <c r="H76">
        <v>0.2</v>
      </c>
      <c r="J76">
        <f t="shared" si="1"/>
        <v>0</v>
      </c>
    </row>
    <row r="77" spans="3:10" x14ac:dyDescent="0.3">
      <c r="C77">
        <v>2.8068</v>
      </c>
      <c r="D77">
        <v>8.3500000000000005E-2</v>
      </c>
      <c r="F77">
        <v>2.8902999999999999</v>
      </c>
      <c r="H77">
        <v>2.8902999999999999</v>
      </c>
      <c r="J77">
        <f t="shared" si="1"/>
        <v>0</v>
      </c>
    </row>
    <row r="78" spans="3:10" x14ac:dyDescent="0.3">
      <c r="C78">
        <v>0.89259999999999995</v>
      </c>
      <c r="D78">
        <v>1.6859999999999999</v>
      </c>
      <c r="F78">
        <v>2.5785999999999998</v>
      </c>
      <c r="H78">
        <v>2.5785999999999998</v>
      </c>
      <c r="J78">
        <f t="shared" si="1"/>
        <v>0</v>
      </c>
    </row>
    <row r="79" spans="3:10" x14ac:dyDescent="0.3">
      <c r="C79">
        <v>0.5333</v>
      </c>
      <c r="D79">
        <v>-0.1033</v>
      </c>
      <c r="F79">
        <v>0.43</v>
      </c>
      <c r="H79">
        <v>0.43</v>
      </c>
      <c r="J79">
        <f t="shared" si="1"/>
        <v>0</v>
      </c>
    </row>
    <row r="80" spans="3:10" x14ac:dyDescent="0.3">
      <c r="C80">
        <v>-0.1618</v>
      </c>
      <c r="D80">
        <v>0.36559999999999998</v>
      </c>
      <c r="F80">
        <v>0.20379999999999998</v>
      </c>
      <c r="H80">
        <v>0.20379999999999998</v>
      </c>
      <c r="J80">
        <f t="shared" si="1"/>
        <v>0</v>
      </c>
    </row>
    <row r="81" spans="3:10" x14ac:dyDescent="0.3">
      <c r="C81">
        <v>1.7929999999999999</v>
      </c>
      <c r="D81">
        <v>-0.22559999999999999</v>
      </c>
      <c r="F81">
        <v>1.5673999999999999</v>
      </c>
      <c r="H81">
        <v>1.5673999999999999</v>
      </c>
      <c r="J81">
        <f t="shared" si="1"/>
        <v>0</v>
      </c>
    </row>
    <row r="82" spans="3:10" x14ac:dyDescent="0.3">
      <c r="C82">
        <v>-0.68659999999999999</v>
      </c>
      <c r="D82">
        <v>-0.2752</v>
      </c>
      <c r="F82">
        <v>-0.96179999999999999</v>
      </c>
      <c r="H82">
        <v>-0.96179999999999999</v>
      </c>
      <c r="J82">
        <f t="shared" si="1"/>
        <v>0</v>
      </c>
    </row>
    <row r="83" spans="3:10" x14ac:dyDescent="0.3">
      <c r="C83">
        <v>-1.7713000000000001</v>
      </c>
      <c r="D83">
        <v>-0.72919999999999996</v>
      </c>
      <c r="F83">
        <v>-2.5005000000000002</v>
      </c>
      <c r="H83">
        <v>-2.5005000000000002</v>
      </c>
      <c r="J83">
        <f t="shared" si="1"/>
        <v>0</v>
      </c>
    </row>
    <row r="84" spans="3:10" x14ac:dyDescent="0.3">
      <c r="C84">
        <v>-0.50219999999999998</v>
      </c>
      <c r="D84">
        <v>-0.24299999999999999</v>
      </c>
      <c r="F84">
        <v>-0.74519999999999997</v>
      </c>
      <c r="H84">
        <v>-0.74519999999999997</v>
      </c>
      <c r="J84">
        <f t="shared" si="1"/>
        <v>0</v>
      </c>
    </row>
    <row r="85" spans="3:10" x14ac:dyDescent="0.3">
      <c r="C85">
        <v>-0.1208</v>
      </c>
      <c r="D85">
        <v>0.30209999999999998</v>
      </c>
      <c r="F85">
        <v>0.18129999999999996</v>
      </c>
      <c r="H85">
        <v>0.18129999999999996</v>
      </c>
      <c r="J85">
        <f t="shared" si="1"/>
        <v>0</v>
      </c>
    </row>
    <row r="86" spans="3:10" x14ac:dyDescent="0.3">
      <c r="C86">
        <v>0.80110000000000003</v>
      </c>
      <c r="D86">
        <v>8.2100000000000006E-2</v>
      </c>
      <c r="F86">
        <v>0.88319999999999999</v>
      </c>
      <c r="H86">
        <v>0.88319999999999999</v>
      </c>
      <c r="J86">
        <f t="shared" si="1"/>
        <v>0</v>
      </c>
    </row>
    <row r="87" spans="3:10" x14ac:dyDescent="0.3">
      <c r="C87">
        <v>9.9599999999999994E-2</v>
      </c>
      <c r="D87">
        <v>-1.2050000000000001</v>
      </c>
      <c r="F87">
        <v>-1.1054000000000002</v>
      </c>
      <c r="H87">
        <v>-1.1054000000000002</v>
      </c>
      <c r="J87">
        <f t="shared" si="1"/>
        <v>0</v>
      </c>
    </row>
    <row r="88" spans="3:10" x14ac:dyDescent="0.3">
      <c r="C88">
        <v>0.63090000000000002</v>
      </c>
      <c r="D88">
        <v>0.8347</v>
      </c>
      <c r="F88">
        <v>1.4656</v>
      </c>
      <c r="H88">
        <v>1.4656</v>
      </c>
      <c r="J88">
        <f t="shared" si="1"/>
        <v>0</v>
      </c>
    </row>
    <row r="89" spans="3:10" x14ac:dyDescent="0.3">
      <c r="C89">
        <v>0.36509999999999998</v>
      </c>
      <c r="D89">
        <v>-1.4693000000000001</v>
      </c>
      <c r="F89">
        <v>-1.1042000000000001</v>
      </c>
      <c r="H89">
        <v>-1.1042000000000001</v>
      </c>
      <c r="J89">
        <f t="shared" si="1"/>
        <v>0</v>
      </c>
    </row>
    <row r="90" spans="3:10" x14ac:dyDescent="0.3">
      <c r="C90">
        <v>3.2627999999999999</v>
      </c>
      <c r="D90">
        <v>-1.6899999999999998E-2</v>
      </c>
      <c r="F90">
        <v>3.2458999999999998</v>
      </c>
      <c r="H90">
        <v>3.2458999999999998</v>
      </c>
      <c r="J90">
        <f t="shared" si="1"/>
        <v>0</v>
      </c>
    </row>
    <row r="91" spans="3:10" x14ac:dyDescent="0.3">
      <c r="C91">
        <v>-1.0142</v>
      </c>
      <c r="D91">
        <v>-1.2826</v>
      </c>
      <c r="F91">
        <v>-2.2968000000000002</v>
      </c>
      <c r="H91">
        <v>-2.2968000000000002</v>
      </c>
      <c r="J91">
        <f t="shared" si="1"/>
        <v>0</v>
      </c>
    </row>
    <row r="92" spans="3:10" x14ac:dyDescent="0.3">
      <c r="C92">
        <v>-0.71340000000000003</v>
      </c>
      <c r="D92">
        <v>0.50349999999999995</v>
      </c>
      <c r="F92">
        <v>-0.20990000000000009</v>
      </c>
      <c r="H92">
        <v>-0.20990000000000009</v>
      </c>
      <c r="J92">
        <f t="shared" si="1"/>
        <v>0</v>
      </c>
    </row>
    <row r="93" spans="3:10" x14ac:dyDescent="0.3">
      <c r="C93">
        <v>1.8340000000000001</v>
      </c>
      <c r="D93">
        <v>0.90080000000000005</v>
      </c>
      <c r="F93">
        <v>2.7347999999999999</v>
      </c>
      <c r="H93">
        <v>2.7347999999999999</v>
      </c>
      <c r="J93">
        <f t="shared" si="1"/>
        <v>0</v>
      </c>
    </row>
    <row r="94" spans="3:10" x14ac:dyDescent="0.3">
      <c r="C94">
        <v>-1.3643000000000001</v>
      </c>
      <c r="D94">
        <v>-4.9599999999999998E-2</v>
      </c>
      <c r="F94">
        <v>-1.4139000000000002</v>
      </c>
      <c r="H94">
        <v>-1.4139000000000002</v>
      </c>
      <c r="J94">
        <f t="shared" si="1"/>
        <v>0</v>
      </c>
    </row>
    <row r="95" spans="3:10" x14ac:dyDescent="0.3">
      <c r="C95">
        <v>-0.4128</v>
      </c>
      <c r="D95">
        <v>0.91180000000000005</v>
      </c>
      <c r="F95">
        <v>0.49900000000000005</v>
      </c>
      <c r="H95">
        <v>0.49900000000000005</v>
      </c>
      <c r="J95">
        <f t="shared" si="1"/>
        <v>0</v>
      </c>
    </row>
    <row r="96" spans="3:10" x14ac:dyDescent="0.3">
      <c r="C96">
        <v>-0.84850000000000003</v>
      </c>
      <c r="D96">
        <v>-0.82669999999999999</v>
      </c>
      <c r="F96">
        <v>-1.6752</v>
      </c>
      <c r="H96">
        <v>-1.6752</v>
      </c>
      <c r="J96">
        <f t="shared" si="1"/>
        <v>0</v>
      </c>
    </row>
    <row r="97" spans="3:10" x14ac:dyDescent="0.3">
      <c r="C97">
        <v>2.3E-2</v>
      </c>
      <c r="D97">
        <v>1.5727</v>
      </c>
      <c r="F97">
        <v>1.5956999999999999</v>
      </c>
      <c r="H97">
        <v>1.5956999999999999</v>
      </c>
      <c r="J97">
        <f t="shared" si="1"/>
        <v>0</v>
      </c>
    </row>
    <row r="98" spans="3:10" x14ac:dyDescent="0.3">
      <c r="C98">
        <v>1.5119</v>
      </c>
      <c r="D98">
        <v>-1.5758000000000001</v>
      </c>
      <c r="F98">
        <v>-6.3900000000000068E-2</v>
      </c>
      <c r="H98">
        <v>-6.3900000000000068E-2</v>
      </c>
      <c r="J98">
        <f t="shared" si="1"/>
        <v>0</v>
      </c>
    </row>
    <row r="99" spans="3:10" x14ac:dyDescent="0.3">
      <c r="C99">
        <v>-1.2321</v>
      </c>
      <c r="D99">
        <v>-3.6900000000000002E-2</v>
      </c>
      <c r="F99">
        <v>-1.2689999999999999</v>
      </c>
      <c r="H99">
        <v>-1.2689999999999999</v>
      </c>
      <c r="J99">
        <f t="shared" si="1"/>
        <v>0</v>
      </c>
    </row>
    <row r="100" spans="3:10" x14ac:dyDescent="0.3">
      <c r="C100">
        <v>-1.4651000000000001</v>
      </c>
      <c r="D100">
        <v>-0.57450000000000001</v>
      </c>
      <c r="F100">
        <v>-2.0396000000000001</v>
      </c>
      <c r="H100">
        <v>-2.0396000000000001</v>
      </c>
      <c r="J100">
        <f t="shared" si="1"/>
        <v>0</v>
      </c>
    </row>
    <row r="101" spans="3:10" x14ac:dyDescent="0.3">
      <c r="C101">
        <v>-0.58130000000000004</v>
      </c>
      <c r="D101">
        <v>-1.3526</v>
      </c>
      <c r="F101">
        <v>-1.9339</v>
      </c>
      <c r="H101">
        <v>-1.9339</v>
      </c>
      <c r="J101">
        <f t="shared" si="1"/>
        <v>0</v>
      </c>
    </row>
    <row r="102" spans="3:10" x14ac:dyDescent="0.3">
      <c r="C102">
        <v>0.56410000000000005</v>
      </c>
      <c r="D102">
        <v>-0.55959999999999999</v>
      </c>
      <c r="F102">
        <v>4.5000000000000595E-3</v>
      </c>
      <c r="H102">
        <v>4.5000000000000595E-3</v>
      </c>
      <c r="J102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B3EF-D9A1-448C-A839-C58D6077CB54}">
  <dimension ref="C2:L11"/>
  <sheetViews>
    <sheetView workbookViewId="0">
      <selection activeCell="I11" sqref="I11"/>
    </sheetView>
  </sheetViews>
  <sheetFormatPr defaultRowHeight="14.4" x14ac:dyDescent="0.3"/>
  <sheetData>
    <row r="2" spans="3:12" x14ac:dyDescent="0.3">
      <c r="C2" t="str" cm="1">
        <f t="array" ref="C2">_xll.RScript.CreateMatrix("cmtx1",C3:F4, "Character")</f>
        <v>cmtx1</v>
      </c>
    </row>
    <row r="3" spans="3:12" x14ac:dyDescent="0.3">
      <c r="C3" t="s">
        <v>116</v>
      </c>
      <c r="D3" t="s">
        <v>1</v>
      </c>
      <c r="E3" t="s">
        <v>2</v>
      </c>
      <c r="F3" t="s">
        <v>3</v>
      </c>
      <c r="I3" t="str" cm="1">
        <f t="array" ref="I3:L4">_xll.RScript.Evaluate(C2)</f>
        <v>this</v>
      </c>
      <c r="J3" t="str">
        <v>is</v>
      </c>
      <c r="K3" t="str">
        <v>a</v>
      </c>
      <c r="L3" t="str">
        <v>test</v>
      </c>
    </row>
    <row r="4" spans="3:12" x14ac:dyDescent="0.3">
      <c r="C4" t="s">
        <v>4</v>
      </c>
      <c r="D4" t="s">
        <v>2</v>
      </c>
      <c r="E4" t="s">
        <v>117</v>
      </c>
      <c r="F4" t="s">
        <v>118</v>
      </c>
      <c r="I4" t="str">
        <v>of</v>
      </c>
      <c r="J4" t="str">
        <v>a</v>
      </c>
      <c r="K4" t="str">
        <v>char</v>
      </c>
      <c r="L4" t="str">
        <v>matrix</v>
      </c>
    </row>
    <row r="6" spans="3:12" x14ac:dyDescent="0.3">
      <c r="C6" t="str" cm="1">
        <f t="array" ref="C6">_xll.RScript.CreateMatrix("cmtx2", C7:E11, "Character")</f>
        <v>cmtx2</v>
      </c>
    </row>
    <row r="7" spans="3:12" x14ac:dyDescent="0.3">
      <c r="C7" t="s">
        <v>116</v>
      </c>
      <c r="D7" t="s">
        <v>4</v>
      </c>
      <c r="I7" t="str" cm="1">
        <f t="array" ref="I7:K11">_xll.RScript.Evaluate(C6)</f>
        <v>this</v>
      </c>
      <c r="J7" t="str">
        <v>of</v>
      </c>
      <c r="K7" t="str">
        <v>ExcelDna.Integration.ExcelEmpty</v>
      </c>
    </row>
    <row r="8" spans="3:12" x14ac:dyDescent="0.3">
      <c r="C8" t="s">
        <v>1</v>
      </c>
      <c r="D8" t="s">
        <v>2</v>
      </c>
      <c r="I8" t="str">
        <v>is</v>
      </c>
      <c r="J8" t="str">
        <v>a</v>
      </c>
      <c r="K8" t="str">
        <v>ExcelDna.Integration.ExcelEmpty</v>
      </c>
    </row>
    <row r="9" spans="3:12" x14ac:dyDescent="0.3">
      <c r="C9" t="s">
        <v>119</v>
      </c>
      <c r="D9" t="s">
        <v>5</v>
      </c>
      <c r="I9" t="str">
        <v>another</v>
      </c>
      <c r="J9" t="str">
        <v>string</v>
      </c>
      <c r="K9" t="str">
        <v>ExcelDna.Integration.ExcelEmpty</v>
      </c>
    </row>
    <row r="10" spans="3:12" x14ac:dyDescent="0.3">
      <c r="C10" t="s">
        <v>3</v>
      </c>
      <c r="D10" t="s">
        <v>118</v>
      </c>
      <c r="I10" t="str">
        <v>test</v>
      </c>
      <c r="J10" t="str">
        <v>matrix</v>
      </c>
      <c r="K10" t="str">
        <v>ExcelDna.Integration.ExcelEmpty</v>
      </c>
    </row>
    <row r="11" spans="3:12" x14ac:dyDescent="0.3">
      <c r="I11" t="str">
        <v>ExcelDna.Integration.ExcelEmpty</v>
      </c>
      <c r="J11" t="str">
        <v>ExcelDna.Integration.ExcelEmpty</v>
      </c>
      <c r="K11" t="str">
        <v>ExcelDna.Integration.ExcelEmpty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19B1-CDAA-43C4-91A4-FB470A4636F2}">
  <dimension ref="B2:L4"/>
  <sheetViews>
    <sheetView workbookViewId="0">
      <selection activeCell="L5" sqref="L5"/>
    </sheetView>
  </sheetViews>
  <sheetFormatPr defaultRowHeight="14.4" x14ac:dyDescent="0.3"/>
  <sheetData>
    <row r="2" spans="2:12" x14ac:dyDescent="0.3">
      <c r="B2" t="s">
        <v>120</v>
      </c>
      <c r="C2" t="str" cm="1">
        <f t="array" ref="C2">_xll.RScript.CreateMatrix(B2,B3:C4, "complex")</f>
        <v>A</v>
      </c>
      <c r="H2" t="str" cm="1">
        <f t="array" ref="H2">_xll.RScript.CreateMatrix("B",H3:I4,"character")</f>
        <v>B</v>
      </c>
    </row>
    <row r="3" spans="2:12" x14ac:dyDescent="0.3">
      <c r="B3" t="s">
        <v>121</v>
      </c>
      <c r="C3" t="s">
        <v>122</v>
      </c>
      <c r="H3" t="s">
        <v>123</v>
      </c>
      <c r="I3" t="s">
        <v>124</v>
      </c>
      <c r="K3" s="9" t="str">
        <f>COMPLEX(IMREAL(H3), IMAGINARY(H3))</f>
        <v>3</v>
      </c>
      <c r="L3" s="9" t="str">
        <f>COMPLEX(IMREAL(I3), IMAGINARY(I3))</f>
        <v>0</v>
      </c>
    </row>
    <row r="4" spans="2:12" x14ac:dyDescent="0.3">
      <c r="B4" t="s">
        <v>125</v>
      </c>
      <c r="C4" t="s">
        <v>126</v>
      </c>
      <c r="H4" t="s">
        <v>127</v>
      </c>
      <c r="I4" t="s">
        <v>124</v>
      </c>
      <c r="K4" s="9" t="str">
        <f>COMPLEX(IMREAL(H4), IMAGINARY(H4))</f>
        <v>4+3i</v>
      </c>
      <c r="L4" s="9" t="str">
        <f>COMPLEX(IMREAL(I4), IMAGINARY(I4))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6D55-5F31-4FE9-B37C-75EEC4381E9A}">
  <dimension ref="B2:L13"/>
  <sheetViews>
    <sheetView workbookViewId="0">
      <selection activeCell="C2" sqref="C2"/>
    </sheetView>
  </sheetViews>
  <sheetFormatPr defaultRowHeight="14.4" x14ac:dyDescent="0.3"/>
  <cols>
    <col min="2" max="2" width="35.44140625" customWidth="1"/>
    <col min="3" max="3" width="11.77734375" customWidth="1"/>
  </cols>
  <sheetData>
    <row r="2" spans="2:12" x14ac:dyDescent="0.3">
      <c r="B2" t="s">
        <v>185</v>
      </c>
      <c r="C2" t="str" cm="1">
        <f t="array" ref="C2">TRANSPOSE(_xll.RScript.Evaluate(B2, TRUE))</f>
        <v xml:space="preserve">Exception: Error in library(complexplus) : there is no package called 'complexplus'
</v>
      </c>
    </row>
    <row r="5" spans="2:12" x14ac:dyDescent="0.3">
      <c r="B5" t="s">
        <v>186</v>
      </c>
      <c r="E5" t="str" cm="1">
        <f t="array" ref="E5">_xll.RScript.Evaluate(B5)</f>
        <v>A</v>
      </c>
      <c r="H5" t="str" cm="1">
        <f t="array" ref="H5">_xll.RScript.Evaluate(B6)</f>
        <v>B</v>
      </c>
      <c r="K5" t="str" cm="1">
        <f t="array" ref="K5">_xll.RScript.Evaluate(B7)</f>
        <v>S</v>
      </c>
    </row>
    <row r="6" spans="2:12" x14ac:dyDescent="0.3">
      <c r="B6" t="s">
        <v>187</v>
      </c>
      <c r="E6" t="str" cm="1">
        <f t="array" ref="E6:F7">_xll.RScript.Evaluate(E5)</f>
        <v>1+0i</v>
      </c>
      <c r="F6" t="str">
        <v>2+3i</v>
      </c>
      <c r="H6" cm="1">
        <f t="array" ref="H6:I7">_xll.RScript.Evaluate(H5)</f>
        <v>1</v>
      </c>
      <c r="I6">
        <v>3</v>
      </c>
      <c r="K6" t="str" cm="1">
        <f t="array" ref="K6:L7">_xll.RScript.Evaluate(K5)</f>
        <v>3+0i</v>
      </c>
      <c r="L6" t="str">
        <v>0+0i</v>
      </c>
    </row>
    <row r="7" spans="2:12" x14ac:dyDescent="0.3">
      <c r="B7" t="s">
        <v>188</v>
      </c>
      <c r="E7" t="str">
        <v>2+0i</v>
      </c>
      <c r="F7" t="str">
        <v>5+0i</v>
      </c>
      <c r="H7">
        <v>2</v>
      </c>
      <c r="I7">
        <v>4</v>
      </c>
      <c r="K7" t="str">
        <v>4+3i</v>
      </c>
      <c r="L7" t="str">
        <v>0+0i</v>
      </c>
    </row>
    <row r="9" spans="2:12" x14ac:dyDescent="0.3">
      <c r="B9" t="s">
        <v>189</v>
      </c>
      <c r="C9" t="str" cm="1">
        <f t="array" ref="C9">_xll.RScript.Evaluate(B9)</f>
        <v>0.999999999999999-6i</v>
      </c>
    </row>
    <row r="11" spans="2:12" x14ac:dyDescent="0.3">
      <c r="B11" t="s">
        <v>190</v>
      </c>
      <c r="C11" t="str" cm="1">
        <f t="array" ref="C11">_xll.RScript.Evaluate(B11)</f>
        <v>ch</v>
      </c>
    </row>
    <row r="12" spans="2:12" x14ac:dyDescent="0.3">
      <c r="C12" t="str" cm="1">
        <f t="array" ref="C12:D13">_xll.RScript.Evaluate(C11)</f>
        <v>This</v>
      </c>
      <c r="D12" t="str">
        <v>a</v>
      </c>
    </row>
    <row r="13" spans="2:12" x14ac:dyDescent="0.3">
      <c r="C13" t="str">
        <v>is</v>
      </c>
      <c r="D13" t="str">
        <v>test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0CA9-24CA-411F-90A5-5B155D50463A}">
  <dimension ref="C2:L12"/>
  <sheetViews>
    <sheetView workbookViewId="0">
      <selection activeCell="C3" sqref="C3"/>
    </sheetView>
  </sheetViews>
  <sheetFormatPr defaultRowHeight="14.4" x14ac:dyDescent="0.3"/>
  <sheetData>
    <row r="2" spans="3:12" x14ac:dyDescent="0.3">
      <c r="C2" t="str" cm="1">
        <f t="array" ref="C2">_xll.RScript.CreateMatrix("intm",C3:L12, "Integer")</f>
        <v>intm</v>
      </c>
    </row>
    <row r="3" spans="3:12" x14ac:dyDescent="0.3"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3:12" x14ac:dyDescent="0.3"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</row>
    <row r="5" spans="3:12" x14ac:dyDescent="0.3"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</row>
    <row r="6" spans="3:12" x14ac:dyDescent="0.3"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</row>
    <row r="7" spans="3:12" x14ac:dyDescent="0.3"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</row>
    <row r="8" spans="3:12" x14ac:dyDescent="0.3"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  <c r="L8">
        <v>6</v>
      </c>
    </row>
    <row r="9" spans="3:12" x14ac:dyDescent="0.3">
      <c r="C9">
        <v>7</v>
      </c>
      <c r="D9">
        <v>7</v>
      </c>
      <c r="E9">
        <v>7</v>
      </c>
      <c r="F9">
        <v>7</v>
      </c>
      <c r="G9">
        <v>7</v>
      </c>
      <c r="H9">
        <v>7</v>
      </c>
      <c r="I9">
        <v>7</v>
      </c>
      <c r="J9">
        <v>7</v>
      </c>
      <c r="K9">
        <v>7</v>
      </c>
      <c r="L9">
        <v>7</v>
      </c>
    </row>
    <row r="10" spans="3:12" x14ac:dyDescent="0.3"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  <c r="I10">
        <v>8</v>
      </c>
      <c r="J10">
        <v>8</v>
      </c>
      <c r="K10">
        <v>8</v>
      </c>
      <c r="L10">
        <v>8</v>
      </c>
    </row>
    <row r="11" spans="3:12" x14ac:dyDescent="0.3"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  <c r="I11">
        <v>9</v>
      </c>
      <c r="J11">
        <v>9</v>
      </c>
      <c r="K11">
        <v>9</v>
      </c>
      <c r="L11">
        <v>9</v>
      </c>
    </row>
    <row r="12" spans="3:12" x14ac:dyDescent="0.3"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5030-835F-4DAF-A5F7-99A91A00E070}">
  <dimension ref="B2:N4"/>
  <sheetViews>
    <sheetView workbookViewId="0">
      <selection activeCell="K3" sqref="K3"/>
    </sheetView>
  </sheetViews>
  <sheetFormatPr defaultRowHeight="14.4" x14ac:dyDescent="0.3"/>
  <cols>
    <col min="8" max="8" width="21.88671875" customWidth="1"/>
  </cols>
  <sheetData>
    <row r="2" spans="2:14" x14ac:dyDescent="0.3">
      <c r="B2" t="str" cm="1">
        <f t="array" ref="B2">_xll.RScript.CreateMatrix("logim1",B3:C4, "Logical")</f>
        <v>logim1</v>
      </c>
      <c r="E2" t="str" cm="1">
        <f t="array" ref="E2">_xll.RScript.CreateMatrix("logim2",E3:F4, "Logical")</f>
        <v>logim2</v>
      </c>
      <c r="H2" t="s">
        <v>128</v>
      </c>
    </row>
    <row r="3" spans="2:14" x14ac:dyDescent="0.3">
      <c r="B3" t="b">
        <v>1</v>
      </c>
      <c r="C3" t="b">
        <v>1</v>
      </c>
      <c r="E3" t="b">
        <v>1</v>
      </c>
      <c r="F3" t="b">
        <v>0</v>
      </c>
      <c r="H3" t="str" cm="1">
        <f t="array" ref="H3">_xll.RScript.Evaluate(H2)</f>
        <v>logim3</v>
      </c>
      <c r="J3" cm="1">
        <f t="array" ref="J3:K4">_xll.RScript.Evaluate(H3)</f>
        <v>2</v>
      </c>
      <c r="K3">
        <v>1</v>
      </c>
      <c r="M3" cm="1">
        <f t="array" ref="M3:N4">B3:C4+E3:F4</f>
        <v>2</v>
      </c>
      <c r="N3">
        <v>1</v>
      </c>
    </row>
    <row r="4" spans="2:14" x14ac:dyDescent="0.3">
      <c r="B4" t="b">
        <v>0</v>
      </c>
      <c r="C4" t="b">
        <v>0</v>
      </c>
      <c r="E4" t="b">
        <v>0</v>
      </c>
      <c r="F4" t="b">
        <v>1</v>
      </c>
      <c r="J4">
        <v>0</v>
      </c>
      <c r="K4">
        <v>1</v>
      </c>
      <c r="M4">
        <v>0</v>
      </c>
      <c r="N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3E69-008B-4E96-8AAF-B444E2071ADC}">
  <dimension ref="B2:I102"/>
  <sheetViews>
    <sheetView workbookViewId="0">
      <selection activeCell="I6" sqref="I6"/>
    </sheetView>
  </sheetViews>
  <sheetFormatPr defaultRowHeight="14.4" x14ac:dyDescent="0.3"/>
  <sheetData>
    <row r="2" spans="2:9" x14ac:dyDescent="0.3">
      <c r="B2" t="str" cm="1">
        <f t="array" ref="B2">_xll.RScript.CreateMatrix("numm1",B3:C102, "Numeric")</f>
        <v>numm1</v>
      </c>
    </row>
    <row r="3" spans="2:9" x14ac:dyDescent="0.3">
      <c r="B3">
        <v>-1.2563</v>
      </c>
      <c r="C3">
        <v>-0.5202</v>
      </c>
      <c r="E3" cm="1">
        <f t="array" ref="E3:F102">_xll.RScript.Evaluate(B2)</f>
        <v>-1.2563</v>
      </c>
      <c r="F3">
        <v>-0.5202</v>
      </c>
      <c r="H3" cm="1">
        <f t="array" ref="H3:I102">_xlfn.ANCHORARRAY(E3)*2.5</f>
        <v>-3.1407499999999997</v>
      </c>
      <c r="I3">
        <v>-1.3005</v>
      </c>
    </row>
    <row r="4" spans="2:9" x14ac:dyDescent="0.3">
      <c r="B4">
        <v>0.25850000000000001</v>
      </c>
      <c r="C4">
        <v>0.53879999999999995</v>
      </c>
      <c r="E4">
        <v>0.25850000000000001</v>
      </c>
      <c r="F4">
        <v>0.53879999999999995</v>
      </c>
      <c r="H4">
        <v>0.64624999999999999</v>
      </c>
      <c r="I4">
        <v>1.347</v>
      </c>
    </row>
    <row r="5" spans="2:9" x14ac:dyDescent="0.3">
      <c r="B5">
        <v>2.2038000000000002</v>
      </c>
      <c r="C5">
        <v>0.22509999999999999</v>
      </c>
      <c r="E5">
        <v>2.2038000000000002</v>
      </c>
      <c r="F5">
        <v>0.22509999999999999</v>
      </c>
      <c r="H5">
        <v>5.509500000000001</v>
      </c>
      <c r="I5">
        <v>0.56274999999999997</v>
      </c>
    </row>
    <row r="6" spans="2:9" x14ac:dyDescent="0.3">
      <c r="B6">
        <v>-4.7899999999999998E-2</v>
      </c>
      <c r="C6">
        <v>-1.5559000000000001</v>
      </c>
      <c r="E6">
        <v>-4.7899999999999998E-2</v>
      </c>
      <c r="F6">
        <v>-1.5559000000000001</v>
      </c>
      <c r="H6">
        <v>-0.11975</v>
      </c>
      <c r="I6">
        <v>-3.8897500000000003</v>
      </c>
    </row>
    <row r="7" spans="2:9" x14ac:dyDescent="0.3">
      <c r="B7">
        <v>-2.2372000000000001</v>
      </c>
      <c r="C7">
        <v>-0.2356</v>
      </c>
      <c r="E7">
        <v>-2.2372000000000001</v>
      </c>
      <c r="F7">
        <v>-0.2356</v>
      </c>
      <c r="H7">
        <v>-5.593</v>
      </c>
      <c r="I7">
        <v>-0.58899999999999997</v>
      </c>
    </row>
    <row r="8" spans="2:9" x14ac:dyDescent="0.3">
      <c r="B8">
        <v>-2.41E-2</v>
      </c>
      <c r="C8">
        <v>1.109</v>
      </c>
      <c r="E8">
        <v>-2.41E-2</v>
      </c>
      <c r="F8">
        <v>1.109</v>
      </c>
      <c r="H8">
        <v>-6.0249999999999998E-2</v>
      </c>
      <c r="I8">
        <v>2.7725</v>
      </c>
    </row>
    <row r="9" spans="2:9" x14ac:dyDescent="0.3">
      <c r="B9">
        <v>-1.8789</v>
      </c>
      <c r="C9">
        <v>-0.16139999999999999</v>
      </c>
      <c r="E9">
        <v>-1.8789</v>
      </c>
      <c r="F9">
        <v>-0.16139999999999999</v>
      </c>
      <c r="H9">
        <v>-4.6972500000000004</v>
      </c>
      <c r="I9">
        <v>-0.40349999999999997</v>
      </c>
    </row>
    <row r="10" spans="2:9" x14ac:dyDescent="0.3">
      <c r="B10">
        <v>-1.2418</v>
      </c>
      <c r="C10">
        <v>0.75160000000000005</v>
      </c>
      <c r="E10">
        <v>-1.2418</v>
      </c>
      <c r="F10">
        <v>0.75160000000000005</v>
      </c>
      <c r="H10">
        <v>-3.1044999999999998</v>
      </c>
      <c r="I10">
        <v>1.879</v>
      </c>
    </row>
    <row r="11" spans="2:9" x14ac:dyDescent="0.3">
      <c r="B11">
        <v>0.26129999999999998</v>
      </c>
      <c r="C11">
        <v>-1.4068000000000001</v>
      </c>
      <c r="E11">
        <v>0.26129999999999998</v>
      </c>
      <c r="F11">
        <v>-1.4068000000000001</v>
      </c>
      <c r="H11">
        <v>0.65324999999999989</v>
      </c>
      <c r="I11">
        <v>-3.5170000000000003</v>
      </c>
    </row>
    <row r="12" spans="2:9" x14ac:dyDescent="0.3">
      <c r="B12">
        <v>-0.81730000000000003</v>
      </c>
      <c r="C12">
        <v>-0.62480000000000002</v>
      </c>
      <c r="E12">
        <v>-0.81730000000000003</v>
      </c>
      <c r="F12">
        <v>-0.62480000000000002</v>
      </c>
      <c r="H12">
        <v>-2.04325</v>
      </c>
      <c r="I12">
        <v>-1.5620000000000001</v>
      </c>
    </row>
    <row r="13" spans="2:9" x14ac:dyDescent="0.3">
      <c r="B13">
        <v>-1.4887999999999999</v>
      </c>
      <c r="C13">
        <v>0.75219999999999998</v>
      </c>
      <c r="E13">
        <v>-1.4887999999999999</v>
      </c>
      <c r="F13">
        <v>0.75219999999999998</v>
      </c>
      <c r="H13">
        <v>-3.7219999999999995</v>
      </c>
      <c r="I13">
        <v>1.8805000000000001</v>
      </c>
    </row>
    <row r="14" spans="2:9" x14ac:dyDescent="0.3">
      <c r="B14">
        <v>1.2095</v>
      </c>
      <c r="C14">
        <v>-9.6299999999999997E-2</v>
      </c>
      <c r="E14">
        <v>1.2095</v>
      </c>
      <c r="F14">
        <v>-9.6299999999999997E-2</v>
      </c>
      <c r="H14">
        <v>3.0237500000000002</v>
      </c>
      <c r="I14">
        <v>-0.24074999999999999</v>
      </c>
    </row>
    <row r="15" spans="2:9" x14ac:dyDescent="0.3">
      <c r="B15">
        <v>1.1444000000000001</v>
      </c>
      <c r="C15">
        <v>1.6305000000000001</v>
      </c>
      <c r="E15">
        <v>1.1444000000000001</v>
      </c>
      <c r="F15">
        <v>1.6305000000000001</v>
      </c>
      <c r="H15">
        <v>2.8610000000000002</v>
      </c>
      <c r="I15">
        <v>4.0762499999999999</v>
      </c>
    </row>
    <row r="16" spans="2:9" x14ac:dyDescent="0.3">
      <c r="B16">
        <v>-0.89629999999999999</v>
      </c>
      <c r="C16">
        <v>-1.1457999999999999</v>
      </c>
      <c r="E16">
        <v>-0.89629999999999999</v>
      </c>
      <c r="F16">
        <v>-1.1457999999999999</v>
      </c>
      <c r="H16">
        <v>-2.2407499999999998</v>
      </c>
      <c r="I16">
        <v>-2.8644999999999996</v>
      </c>
    </row>
    <row r="17" spans="2:9" x14ac:dyDescent="0.3">
      <c r="B17">
        <v>-0.66659999999999997</v>
      </c>
      <c r="C17">
        <v>0.93169999999999997</v>
      </c>
      <c r="E17">
        <v>-0.66659999999999997</v>
      </c>
      <c r="F17">
        <v>0.93169999999999997</v>
      </c>
      <c r="H17">
        <v>-1.6664999999999999</v>
      </c>
      <c r="I17">
        <v>2.32925</v>
      </c>
    </row>
    <row r="18" spans="2:9" x14ac:dyDescent="0.3">
      <c r="B18">
        <v>7.3700000000000002E-2</v>
      </c>
      <c r="C18">
        <v>-0.36380000000000001</v>
      </c>
      <c r="E18">
        <v>7.3700000000000002E-2</v>
      </c>
      <c r="F18">
        <v>-0.36380000000000001</v>
      </c>
      <c r="H18">
        <v>0.18425</v>
      </c>
      <c r="I18">
        <v>-0.90949999999999998</v>
      </c>
    </row>
    <row r="19" spans="2:9" x14ac:dyDescent="0.3">
      <c r="B19">
        <v>4.7899999999999998E-2</v>
      </c>
      <c r="C19">
        <v>-0.88090000000000002</v>
      </c>
      <c r="E19">
        <v>4.7899999999999998E-2</v>
      </c>
      <c r="F19">
        <v>-0.88090000000000002</v>
      </c>
      <c r="H19">
        <v>0.11975</v>
      </c>
      <c r="I19">
        <v>-2.2022500000000003</v>
      </c>
    </row>
    <row r="20" spans="2:9" x14ac:dyDescent="0.3">
      <c r="B20">
        <v>2.1492</v>
      </c>
      <c r="C20">
        <v>-1.3008999999999999</v>
      </c>
      <c r="E20">
        <v>2.1492</v>
      </c>
      <c r="F20">
        <v>-1.3008999999999999</v>
      </c>
      <c r="H20">
        <v>5.3730000000000002</v>
      </c>
      <c r="I20">
        <v>-3.2522500000000001</v>
      </c>
    </row>
    <row r="21" spans="2:9" x14ac:dyDescent="0.3">
      <c r="B21">
        <v>-2.1591</v>
      </c>
      <c r="C21">
        <v>-0.34470000000000001</v>
      </c>
      <c r="E21">
        <v>-2.1591</v>
      </c>
      <c r="F21">
        <v>-0.34470000000000001</v>
      </c>
      <c r="H21">
        <v>-5.3977500000000003</v>
      </c>
      <c r="I21">
        <v>-0.86175000000000002</v>
      </c>
    </row>
    <row r="22" spans="2:9" x14ac:dyDescent="0.3">
      <c r="B22">
        <v>-0.95269999999999999</v>
      </c>
      <c r="C22">
        <v>1.302</v>
      </c>
      <c r="E22">
        <v>-0.95269999999999999</v>
      </c>
      <c r="F22">
        <v>1.302</v>
      </c>
      <c r="H22">
        <v>-2.3817499999999998</v>
      </c>
      <c r="I22">
        <v>3.2549999999999999</v>
      </c>
    </row>
    <row r="23" spans="2:9" x14ac:dyDescent="0.3">
      <c r="B23">
        <v>1.468</v>
      </c>
      <c r="C23">
        <v>6.83E-2</v>
      </c>
      <c r="E23">
        <v>1.468</v>
      </c>
      <c r="F23">
        <v>6.83E-2</v>
      </c>
      <c r="H23">
        <v>3.67</v>
      </c>
      <c r="I23">
        <v>0.17075000000000001</v>
      </c>
    </row>
    <row r="24" spans="2:9" x14ac:dyDescent="0.3">
      <c r="B24">
        <v>2.7799999999999998E-2</v>
      </c>
      <c r="C24">
        <v>-0.86780000000000002</v>
      </c>
      <c r="E24">
        <v>2.7799999999999998E-2</v>
      </c>
      <c r="F24">
        <v>-0.86780000000000002</v>
      </c>
      <c r="H24">
        <v>6.9499999999999992E-2</v>
      </c>
      <c r="I24">
        <v>-2.1695000000000002</v>
      </c>
    </row>
    <row r="25" spans="2:9" x14ac:dyDescent="0.3">
      <c r="B25">
        <v>-1.7741</v>
      </c>
      <c r="C25">
        <v>2.0992999999999999</v>
      </c>
      <c r="E25">
        <v>-1.7741</v>
      </c>
      <c r="F25">
        <v>2.0992999999999999</v>
      </c>
      <c r="H25">
        <v>-4.4352499999999999</v>
      </c>
      <c r="I25">
        <v>5.2482499999999996</v>
      </c>
    </row>
    <row r="26" spans="2:9" x14ac:dyDescent="0.3">
      <c r="B26">
        <v>0.88190000000000002</v>
      </c>
      <c r="C26">
        <v>0.93579999999999997</v>
      </c>
      <c r="E26">
        <v>0.88190000000000002</v>
      </c>
      <c r="F26">
        <v>0.93579999999999997</v>
      </c>
      <c r="H26">
        <v>2.2047500000000002</v>
      </c>
      <c r="I26">
        <v>2.3395000000000001</v>
      </c>
    </row>
    <row r="27" spans="2:9" x14ac:dyDescent="0.3">
      <c r="B27">
        <v>1.2302</v>
      </c>
      <c r="C27">
        <v>2.8332999999999999</v>
      </c>
      <c r="E27">
        <v>1.2302</v>
      </c>
      <c r="F27">
        <v>2.8332999999999999</v>
      </c>
      <c r="H27">
        <v>3.0754999999999999</v>
      </c>
      <c r="I27">
        <v>7.0832499999999996</v>
      </c>
    </row>
    <row r="28" spans="2:9" x14ac:dyDescent="0.3">
      <c r="B28">
        <v>0.49469999999999997</v>
      </c>
      <c r="C28">
        <v>-1.0908</v>
      </c>
      <c r="E28">
        <v>0.49469999999999997</v>
      </c>
      <c r="F28">
        <v>-1.0908</v>
      </c>
      <c r="H28">
        <v>1.23675</v>
      </c>
      <c r="I28">
        <v>-2.7269999999999999</v>
      </c>
    </row>
    <row r="29" spans="2:9" x14ac:dyDescent="0.3">
      <c r="B29">
        <v>0.84870000000000001</v>
      </c>
      <c r="C29">
        <v>-0.18679999999999999</v>
      </c>
      <c r="E29">
        <v>0.84870000000000001</v>
      </c>
      <c r="F29">
        <v>-0.18679999999999999</v>
      </c>
      <c r="H29">
        <v>2.12175</v>
      </c>
      <c r="I29">
        <v>-0.46699999999999997</v>
      </c>
    </row>
    <row r="30" spans="2:9" x14ac:dyDescent="0.3">
      <c r="B30">
        <v>-0.63970000000000005</v>
      </c>
      <c r="C30">
        <v>-1.3940999999999999</v>
      </c>
      <c r="E30">
        <v>-0.63970000000000005</v>
      </c>
      <c r="F30">
        <v>-1.3940999999999999</v>
      </c>
      <c r="H30">
        <v>-1.5992500000000001</v>
      </c>
      <c r="I30">
        <v>-3.4852499999999997</v>
      </c>
    </row>
    <row r="31" spans="2:9" x14ac:dyDescent="0.3">
      <c r="B31">
        <v>1.4814000000000001</v>
      </c>
      <c r="C31">
        <v>0.31119999999999998</v>
      </c>
      <c r="E31">
        <v>1.4814000000000001</v>
      </c>
      <c r="F31">
        <v>0.31119999999999998</v>
      </c>
      <c r="H31">
        <v>3.7035</v>
      </c>
      <c r="I31">
        <v>0.77799999999999991</v>
      </c>
    </row>
    <row r="32" spans="2:9" x14ac:dyDescent="0.3">
      <c r="B32">
        <v>0.26</v>
      </c>
      <c r="C32">
        <v>-1.7434000000000001</v>
      </c>
      <c r="E32">
        <v>0.26</v>
      </c>
      <c r="F32">
        <v>-1.7434000000000001</v>
      </c>
      <c r="H32">
        <v>0.65</v>
      </c>
      <c r="I32">
        <v>-4.3585000000000003</v>
      </c>
    </row>
    <row r="33" spans="2:9" x14ac:dyDescent="0.3">
      <c r="B33">
        <v>-1.0053000000000001</v>
      </c>
      <c r="C33">
        <v>1.0441</v>
      </c>
      <c r="E33">
        <v>-1.0053000000000001</v>
      </c>
      <c r="F33">
        <v>1.0441</v>
      </c>
      <c r="H33">
        <v>-2.5132500000000002</v>
      </c>
      <c r="I33">
        <v>2.6102500000000002</v>
      </c>
    </row>
    <row r="34" spans="2:9" x14ac:dyDescent="0.3">
      <c r="B34">
        <v>-0.31080000000000002</v>
      </c>
      <c r="C34">
        <v>-0.65010000000000001</v>
      </c>
      <c r="E34">
        <v>-0.31080000000000002</v>
      </c>
      <c r="F34">
        <v>-0.65010000000000001</v>
      </c>
      <c r="H34">
        <v>-0.77700000000000002</v>
      </c>
      <c r="I34">
        <v>-1.6252500000000001</v>
      </c>
    </row>
    <row r="35" spans="2:9" x14ac:dyDescent="0.3">
      <c r="B35">
        <v>0.31230000000000002</v>
      </c>
      <c r="C35">
        <v>-0.44180000000000003</v>
      </c>
      <c r="E35">
        <v>0.31230000000000002</v>
      </c>
      <c r="F35">
        <v>-0.44180000000000003</v>
      </c>
      <c r="H35">
        <v>0.78075000000000006</v>
      </c>
      <c r="I35">
        <v>-1.1045</v>
      </c>
    </row>
    <row r="36" spans="2:9" x14ac:dyDescent="0.3">
      <c r="B36">
        <v>-0.1293</v>
      </c>
      <c r="C36">
        <v>-0.39219999999999999</v>
      </c>
      <c r="E36">
        <v>-0.1293</v>
      </c>
      <c r="F36">
        <v>-0.39219999999999999</v>
      </c>
      <c r="H36">
        <v>-0.32324999999999998</v>
      </c>
      <c r="I36">
        <v>-0.98049999999999993</v>
      </c>
    </row>
    <row r="37" spans="2:9" x14ac:dyDescent="0.3">
      <c r="B37">
        <v>-0.8427</v>
      </c>
      <c r="C37">
        <v>-0.43120000000000003</v>
      </c>
      <c r="E37">
        <v>-0.8427</v>
      </c>
      <c r="F37">
        <v>-0.43120000000000003</v>
      </c>
      <c r="H37">
        <v>-2.1067499999999999</v>
      </c>
      <c r="I37">
        <v>-1.0780000000000001</v>
      </c>
    </row>
    <row r="38" spans="2:9" x14ac:dyDescent="0.3">
      <c r="B38">
        <v>0.1966</v>
      </c>
      <c r="C38">
        <v>0.57410000000000005</v>
      </c>
      <c r="E38">
        <v>0.1966</v>
      </c>
      <c r="F38">
        <v>0.57410000000000005</v>
      </c>
      <c r="H38">
        <v>0.49149999999999999</v>
      </c>
      <c r="I38">
        <v>1.4352500000000001</v>
      </c>
    </row>
    <row r="39" spans="2:9" x14ac:dyDescent="0.3">
      <c r="B39">
        <v>-0.93269999999999997</v>
      </c>
      <c r="C39">
        <v>0.30930000000000002</v>
      </c>
      <c r="E39">
        <v>-0.93269999999999997</v>
      </c>
      <c r="F39">
        <v>0.30930000000000002</v>
      </c>
      <c r="H39">
        <v>-2.33175</v>
      </c>
      <c r="I39">
        <v>0.77324999999999999</v>
      </c>
    </row>
    <row r="40" spans="2:9" x14ac:dyDescent="0.3">
      <c r="B40">
        <v>0.78949999999999998</v>
      </c>
      <c r="C40">
        <v>-0.63580000000000003</v>
      </c>
      <c r="E40">
        <v>0.78949999999999998</v>
      </c>
      <c r="F40">
        <v>-0.63580000000000003</v>
      </c>
      <c r="H40">
        <v>1.9737499999999999</v>
      </c>
      <c r="I40">
        <v>-1.5895000000000001</v>
      </c>
    </row>
    <row r="41" spans="2:9" x14ac:dyDescent="0.3">
      <c r="B41">
        <v>-1.9551000000000001</v>
      </c>
      <c r="C41">
        <v>1.4153</v>
      </c>
      <c r="E41">
        <v>-1.9551000000000001</v>
      </c>
      <c r="F41">
        <v>1.4153</v>
      </c>
      <c r="H41">
        <v>-4.8877500000000005</v>
      </c>
      <c r="I41">
        <v>3.5382500000000001</v>
      </c>
    </row>
    <row r="42" spans="2:9" x14ac:dyDescent="0.3">
      <c r="B42">
        <v>-9.4799999999999995E-2</v>
      </c>
      <c r="C42">
        <v>-2.0596999999999999</v>
      </c>
      <c r="E42">
        <v>-9.4799999999999995E-2</v>
      </c>
      <c r="F42">
        <v>-2.0596999999999999</v>
      </c>
      <c r="H42">
        <v>-0.23699999999999999</v>
      </c>
      <c r="I42">
        <v>-5.1492499999999994</v>
      </c>
    </row>
    <row r="43" spans="2:9" x14ac:dyDescent="0.3">
      <c r="B43">
        <v>-0.92989999999999995</v>
      </c>
      <c r="C43">
        <v>0.59519999999999995</v>
      </c>
      <c r="E43">
        <v>-0.92989999999999995</v>
      </c>
      <c r="F43">
        <v>0.59519999999999995</v>
      </c>
      <c r="H43">
        <v>-2.3247499999999999</v>
      </c>
      <c r="I43">
        <v>1.488</v>
      </c>
    </row>
    <row r="44" spans="2:9" x14ac:dyDescent="0.3">
      <c r="B44">
        <v>0.72260000000000002</v>
      </c>
      <c r="C44">
        <v>-0.42049999999999998</v>
      </c>
      <c r="E44">
        <v>0.72260000000000002</v>
      </c>
      <c r="F44">
        <v>-0.42049999999999998</v>
      </c>
      <c r="H44">
        <v>1.8065</v>
      </c>
      <c r="I44">
        <v>-1.05125</v>
      </c>
    </row>
    <row r="45" spans="2:9" x14ac:dyDescent="0.3">
      <c r="B45">
        <v>-0.54059999999999997</v>
      </c>
      <c r="C45">
        <v>0.85060000000000002</v>
      </c>
      <c r="E45">
        <v>-0.54059999999999997</v>
      </c>
      <c r="F45">
        <v>0.85060000000000002</v>
      </c>
      <c r="H45">
        <v>-1.3514999999999999</v>
      </c>
      <c r="I45">
        <v>2.1265000000000001</v>
      </c>
    </row>
    <row r="46" spans="2:9" x14ac:dyDescent="0.3">
      <c r="B46">
        <v>0.84030000000000005</v>
      </c>
      <c r="C46">
        <v>-0.97070000000000001</v>
      </c>
      <c r="E46">
        <v>0.84030000000000005</v>
      </c>
      <c r="F46">
        <v>-0.97070000000000001</v>
      </c>
      <c r="H46">
        <v>2.1007500000000001</v>
      </c>
      <c r="I46">
        <v>-2.4267500000000002</v>
      </c>
    </row>
    <row r="47" spans="2:9" x14ac:dyDescent="0.3">
      <c r="B47">
        <v>0.87090000000000001</v>
      </c>
      <c r="C47">
        <v>1.7383999999999999</v>
      </c>
      <c r="E47">
        <v>0.87090000000000001</v>
      </c>
      <c r="F47">
        <v>1.7383999999999999</v>
      </c>
      <c r="H47">
        <v>2.1772499999999999</v>
      </c>
      <c r="I47">
        <v>4.3460000000000001</v>
      </c>
    </row>
    <row r="48" spans="2:9" x14ac:dyDescent="0.3">
      <c r="B48">
        <v>-0.31430000000000002</v>
      </c>
      <c r="C48">
        <v>0.15840000000000001</v>
      </c>
      <c r="E48">
        <v>-0.31430000000000002</v>
      </c>
      <c r="F48">
        <v>0.15840000000000001</v>
      </c>
      <c r="H48">
        <v>-0.78575000000000006</v>
      </c>
      <c r="I48">
        <v>0.39600000000000002</v>
      </c>
    </row>
    <row r="49" spans="2:9" x14ac:dyDescent="0.3">
      <c r="B49">
        <v>-1.9728000000000001</v>
      </c>
      <c r="C49">
        <v>5.3400000000000003E-2</v>
      </c>
      <c r="E49">
        <v>-1.9728000000000001</v>
      </c>
      <c r="F49">
        <v>5.3400000000000003E-2</v>
      </c>
      <c r="H49">
        <v>-4.9320000000000004</v>
      </c>
      <c r="I49">
        <v>0.13350000000000001</v>
      </c>
    </row>
    <row r="50" spans="2:9" x14ac:dyDescent="0.3">
      <c r="B50">
        <v>-1.0250999999999999</v>
      </c>
      <c r="C50">
        <v>0.20710000000000001</v>
      </c>
      <c r="E50">
        <v>-1.0250999999999999</v>
      </c>
      <c r="F50">
        <v>0.20710000000000001</v>
      </c>
      <c r="H50">
        <v>-2.5627499999999999</v>
      </c>
      <c r="I50">
        <v>0.51775000000000004</v>
      </c>
    </row>
    <row r="51" spans="2:9" x14ac:dyDescent="0.3">
      <c r="B51">
        <v>-0.66720000000000002</v>
      </c>
      <c r="C51">
        <v>1.1205000000000001</v>
      </c>
      <c r="E51">
        <v>-0.66720000000000002</v>
      </c>
      <c r="F51">
        <v>1.1205000000000001</v>
      </c>
      <c r="H51">
        <v>-1.6680000000000001</v>
      </c>
      <c r="I51">
        <v>2.80125</v>
      </c>
    </row>
    <row r="52" spans="2:9" x14ac:dyDescent="0.3">
      <c r="B52">
        <v>-2.0192999999999999</v>
      </c>
      <c r="C52">
        <v>-0.97670000000000001</v>
      </c>
      <c r="E52">
        <v>-2.0192999999999999</v>
      </c>
      <c r="F52">
        <v>-0.97670000000000001</v>
      </c>
      <c r="H52">
        <v>-5.0482499999999995</v>
      </c>
      <c r="I52">
        <v>-2.4417499999999999</v>
      </c>
    </row>
    <row r="53" spans="2:9" x14ac:dyDescent="0.3">
      <c r="B53">
        <v>-2.6996000000000002</v>
      </c>
      <c r="C53">
        <v>-0.1482</v>
      </c>
      <c r="E53">
        <v>-2.6996000000000002</v>
      </c>
      <c r="F53">
        <v>-0.1482</v>
      </c>
      <c r="H53">
        <v>-6.7490000000000006</v>
      </c>
      <c r="I53">
        <v>-0.3705</v>
      </c>
    </row>
    <row r="54" spans="2:9" x14ac:dyDescent="0.3">
      <c r="B54">
        <v>-0.57709999999999995</v>
      </c>
      <c r="C54">
        <v>-1.08</v>
      </c>
      <c r="E54">
        <v>-0.57709999999999995</v>
      </c>
      <c r="F54">
        <v>-1.08</v>
      </c>
      <c r="H54">
        <v>-1.4427499999999998</v>
      </c>
      <c r="I54">
        <v>-2.7</v>
      </c>
    </row>
    <row r="55" spans="2:9" x14ac:dyDescent="0.3">
      <c r="B55">
        <v>0.71099999999999997</v>
      </c>
      <c r="C55">
        <v>0.48010000000000003</v>
      </c>
      <c r="E55">
        <v>0.71099999999999997</v>
      </c>
      <c r="F55">
        <v>0.48010000000000003</v>
      </c>
      <c r="H55">
        <v>1.7774999999999999</v>
      </c>
      <c r="I55">
        <v>1.20025</v>
      </c>
    </row>
    <row r="56" spans="2:9" x14ac:dyDescent="0.3">
      <c r="B56">
        <v>0.22559999999999999</v>
      </c>
      <c r="C56">
        <v>0.69340000000000002</v>
      </c>
      <c r="E56">
        <v>0.22559999999999999</v>
      </c>
      <c r="F56">
        <v>0.69340000000000002</v>
      </c>
      <c r="H56">
        <v>0.56399999999999995</v>
      </c>
      <c r="I56">
        <v>1.7335</v>
      </c>
    </row>
    <row r="57" spans="2:9" x14ac:dyDescent="0.3">
      <c r="B57">
        <v>-1.4704999999999999</v>
      </c>
      <c r="C57">
        <v>3.0297999999999998</v>
      </c>
      <c r="E57">
        <v>-1.4704999999999999</v>
      </c>
      <c r="F57">
        <v>3.0297999999999998</v>
      </c>
      <c r="H57">
        <v>-3.6762499999999996</v>
      </c>
      <c r="I57">
        <v>7.5744999999999996</v>
      </c>
    </row>
    <row r="58" spans="2:9" x14ac:dyDescent="0.3">
      <c r="B58">
        <v>1.1694</v>
      </c>
      <c r="C58">
        <v>0.78549999999999998</v>
      </c>
      <c r="E58">
        <v>1.1694</v>
      </c>
      <c r="F58">
        <v>0.78549999999999998</v>
      </c>
      <c r="H58">
        <v>2.9234999999999998</v>
      </c>
      <c r="I58">
        <v>1.9637499999999999</v>
      </c>
    </row>
    <row r="59" spans="2:9" x14ac:dyDescent="0.3">
      <c r="B59">
        <v>0.55710000000000004</v>
      </c>
      <c r="C59">
        <v>-0.76149999999999995</v>
      </c>
      <c r="E59">
        <v>0.55710000000000004</v>
      </c>
      <c r="F59">
        <v>-0.76149999999999995</v>
      </c>
      <c r="H59">
        <v>1.3927500000000002</v>
      </c>
      <c r="I59">
        <v>-1.9037499999999998</v>
      </c>
    </row>
    <row r="60" spans="2:9" x14ac:dyDescent="0.3">
      <c r="B60">
        <v>1.0063</v>
      </c>
      <c r="C60">
        <v>-1.6597</v>
      </c>
      <c r="E60">
        <v>1.0063</v>
      </c>
      <c r="F60">
        <v>-1.6597</v>
      </c>
      <c r="H60">
        <v>2.5157499999999997</v>
      </c>
      <c r="I60">
        <v>-4.1492500000000003</v>
      </c>
    </row>
    <row r="61" spans="2:9" x14ac:dyDescent="0.3">
      <c r="B61">
        <v>0.37290000000000001</v>
      </c>
      <c r="C61">
        <v>0.3992</v>
      </c>
      <c r="E61">
        <v>0.37290000000000001</v>
      </c>
      <c r="F61">
        <v>0.3992</v>
      </c>
      <c r="H61">
        <v>0.93225000000000002</v>
      </c>
      <c r="I61">
        <v>0.998</v>
      </c>
    </row>
    <row r="62" spans="2:9" x14ac:dyDescent="0.3">
      <c r="B62">
        <v>-1.1835</v>
      </c>
      <c r="C62">
        <v>-3.0000000000000001E-3</v>
      </c>
      <c r="E62">
        <v>-1.1835</v>
      </c>
      <c r="F62">
        <v>-3.0000000000000001E-3</v>
      </c>
      <c r="H62">
        <v>-2.9587500000000002</v>
      </c>
      <c r="I62">
        <v>-7.4999999999999997E-3</v>
      </c>
    </row>
    <row r="63" spans="2:9" x14ac:dyDescent="0.3">
      <c r="B63">
        <v>-0.93220000000000003</v>
      </c>
      <c r="C63">
        <v>-1.5266</v>
      </c>
      <c r="E63">
        <v>-0.93220000000000003</v>
      </c>
      <c r="F63">
        <v>-1.5266</v>
      </c>
      <c r="H63">
        <v>-2.3305000000000002</v>
      </c>
      <c r="I63">
        <v>-3.8165</v>
      </c>
    </row>
    <row r="64" spans="2:9" x14ac:dyDescent="0.3">
      <c r="B64">
        <v>-1.3561000000000001</v>
      </c>
      <c r="C64">
        <v>-1.4098999999999999</v>
      </c>
      <c r="E64">
        <v>-1.3561000000000001</v>
      </c>
      <c r="F64">
        <v>-1.4098999999999999</v>
      </c>
      <c r="H64">
        <v>-3.39025</v>
      </c>
      <c r="I64">
        <v>-3.52475</v>
      </c>
    </row>
    <row r="65" spans="2:9" x14ac:dyDescent="0.3">
      <c r="B65">
        <v>0.90780000000000005</v>
      </c>
      <c r="C65">
        <v>-0.51300000000000001</v>
      </c>
      <c r="E65">
        <v>0.90780000000000005</v>
      </c>
      <c r="F65">
        <v>-0.51300000000000001</v>
      </c>
      <c r="H65">
        <v>2.2695000000000003</v>
      </c>
      <c r="I65">
        <v>-1.2825</v>
      </c>
    </row>
    <row r="66" spans="2:9" x14ac:dyDescent="0.3">
      <c r="B66">
        <v>0.49180000000000001</v>
      </c>
      <c r="C66">
        <v>1.3229</v>
      </c>
      <c r="E66">
        <v>0.49180000000000001</v>
      </c>
      <c r="F66">
        <v>1.3229</v>
      </c>
      <c r="H66">
        <v>1.2295</v>
      </c>
      <c r="I66">
        <v>3.3072499999999998</v>
      </c>
    </row>
    <row r="67" spans="2:9" x14ac:dyDescent="0.3">
      <c r="B67">
        <v>-0.35630000000000001</v>
      </c>
      <c r="C67">
        <v>-0.29430000000000001</v>
      </c>
      <c r="E67">
        <v>-0.35630000000000001</v>
      </c>
      <c r="F67">
        <v>-0.29430000000000001</v>
      </c>
      <c r="H67">
        <v>-0.89075000000000004</v>
      </c>
      <c r="I67">
        <v>-0.73575000000000002</v>
      </c>
    </row>
    <row r="68" spans="2:9" x14ac:dyDescent="0.3">
      <c r="B68">
        <v>1.0147999999999999</v>
      </c>
      <c r="C68">
        <v>-1.5088999999999999</v>
      </c>
      <c r="E68">
        <v>1.0147999999999999</v>
      </c>
      <c r="F68">
        <v>-1.5088999999999999</v>
      </c>
      <c r="H68">
        <v>2.5369999999999999</v>
      </c>
      <c r="I68">
        <v>-3.7722499999999997</v>
      </c>
    </row>
    <row r="69" spans="2:9" x14ac:dyDescent="0.3">
      <c r="B69">
        <v>0.29730000000000001</v>
      </c>
      <c r="C69">
        <v>0.2467</v>
      </c>
      <c r="E69">
        <v>0.29730000000000001</v>
      </c>
      <c r="F69">
        <v>0.2467</v>
      </c>
      <c r="H69">
        <v>0.74324999999999997</v>
      </c>
      <c r="I69">
        <v>0.61675000000000002</v>
      </c>
    </row>
    <row r="70" spans="2:9" x14ac:dyDescent="0.3">
      <c r="B70">
        <v>-0.96040000000000003</v>
      </c>
      <c r="C70">
        <v>1.8648</v>
      </c>
      <c r="E70">
        <v>-0.96040000000000003</v>
      </c>
      <c r="F70">
        <v>1.8648</v>
      </c>
      <c r="H70">
        <v>-2.4010000000000002</v>
      </c>
      <c r="I70">
        <v>4.6619999999999999</v>
      </c>
    </row>
    <row r="71" spans="2:9" x14ac:dyDescent="0.3">
      <c r="B71">
        <v>0.86219999999999997</v>
      </c>
      <c r="C71">
        <v>0.51470000000000005</v>
      </c>
      <c r="E71">
        <v>0.86219999999999997</v>
      </c>
      <c r="F71">
        <v>0.51470000000000005</v>
      </c>
      <c r="H71">
        <v>2.1555</v>
      </c>
      <c r="I71">
        <v>1.2867500000000001</v>
      </c>
    </row>
    <row r="72" spans="2:9" x14ac:dyDescent="0.3">
      <c r="B72">
        <v>0.41489999999999999</v>
      </c>
      <c r="C72">
        <v>-0.42730000000000001</v>
      </c>
      <c r="E72">
        <v>0.41489999999999999</v>
      </c>
      <c r="F72">
        <v>-0.42730000000000001</v>
      </c>
      <c r="H72">
        <v>1.03725</v>
      </c>
      <c r="I72">
        <v>-1.0682499999999999</v>
      </c>
    </row>
    <row r="73" spans="2:9" x14ac:dyDescent="0.3">
      <c r="B73">
        <v>0.5554</v>
      </c>
      <c r="C73">
        <v>0.94259999999999999</v>
      </c>
      <c r="E73">
        <v>0.5554</v>
      </c>
      <c r="F73">
        <v>0.94259999999999999</v>
      </c>
      <c r="H73">
        <v>1.3885000000000001</v>
      </c>
      <c r="I73">
        <v>2.3565</v>
      </c>
    </row>
    <row r="74" spans="2:9" x14ac:dyDescent="0.3">
      <c r="B74">
        <v>-0.12640000000000001</v>
      </c>
      <c r="C74">
        <v>0.45619999999999999</v>
      </c>
      <c r="E74">
        <v>-0.12640000000000001</v>
      </c>
      <c r="F74">
        <v>0.45619999999999999</v>
      </c>
      <c r="H74">
        <v>-0.31600000000000006</v>
      </c>
      <c r="I74">
        <v>1.1405000000000001</v>
      </c>
    </row>
    <row r="75" spans="2:9" x14ac:dyDescent="0.3">
      <c r="B75">
        <v>-0.31990000000000002</v>
      </c>
      <c r="C75">
        <v>1.5327999999999999</v>
      </c>
      <c r="E75">
        <v>-0.31990000000000002</v>
      </c>
      <c r="F75">
        <v>1.5327999999999999</v>
      </c>
      <c r="H75">
        <v>-0.79975000000000007</v>
      </c>
      <c r="I75">
        <v>3.8319999999999999</v>
      </c>
    </row>
    <row r="76" spans="2:9" x14ac:dyDescent="0.3">
      <c r="B76">
        <v>-0.1588</v>
      </c>
      <c r="C76">
        <v>0.35880000000000001</v>
      </c>
      <c r="E76">
        <v>-0.1588</v>
      </c>
      <c r="F76">
        <v>0.35880000000000001</v>
      </c>
      <c r="H76">
        <v>-0.39700000000000002</v>
      </c>
      <c r="I76">
        <v>0.89700000000000002</v>
      </c>
    </row>
    <row r="77" spans="2:9" x14ac:dyDescent="0.3">
      <c r="B77">
        <v>2.8068</v>
      </c>
      <c r="C77">
        <v>8.3500000000000005E-2</v>
      </c>
      <c r="E77">
        <v>2.8068</v>
      </c>
      <c r="F77">
        <v>8.3500000000000005E-2</v>
      </c>
      <c r="H77">
        <v>7.0169999999999995</v>
      </c>
      <c r="I77">
        <v>0.20875000000000002</v>
      </c>
    </row>
    <row r="78" spans="2:9" x14ac:dyDescent="0.3">
      <c r="B78">
        <v>0.89259999999999995</v>
      </c>
      <c r="C78">
        <v>1.6859999999999999</v>
      </c>
      <c r="E78">
        <v>0.89259999999999995</v>
      </c>
      <c r="F78">
        <v>1.6859999999999999</v>
      </c>
      <c r="H78">
        <v>2.2315</v>
      </c>
      <c r="I78">
        <v>4.2149999999999999</v>
      </c>
    </row>
    <row r="79" spans="2:9" x14ac:dyDescent="0.3">
      <c r="B79">
        <v>0.5333</v>
      </c>
      <c r="C79">
        <v>-0.1033</v>
      </c>
      <c r="E79">
        <v>0.5333</v>
      </c>
      <c r="F79">
        <v>-0.1033</v>
      </c>
      <c r="H79">
        <v>1.33325</v>
      </c>
      <c r="I79">
        <v>-0.25824999999999998</v>
      </c>
    </row>
    <row r="80" spans="2:9" x14ac:dyDescent="0.3">
      <c r="B80">
        <v>-0.1618</v>
      </c>
      <c r="C80">
        <v>0.36559999999999998</v>
      </c>
      <c r="E80">
        <v>-0.1618</v>
      </c>
      <c r="F80">
        <v>0.36559999999999998</v>
      </c>
      <c r="H80">
        <v>-0.40449999999999997</v>
      </c>
      <c r="I80">
        <v>0.91399999999999992</v>
      </c>
    </row>
    <row r="81" spans="2:9" x14ac:dyDescent="0.3">
      <c r="B81">
        <v>1.7929999999999999</v>
      </c>
      <c r="C81">
        <v>-0.22559999999999999</v>
      </c>
      <c r="E81">
        <v>1.7929999999999999</v>
      </c>
      <c r="F81">
        <v>-0.22559999999999999</v>
      </c>
      <c r="H81">
        <v>4.4824999999999999</v>
      </c>
      <c r="I81">
        <v>-0.56399999999999995</v>
      </c>
    </row>
    <row r="82" spans="2:9" x14ac:dyDescent="0.3">
      <c r="B82">
        <v>-0.68659999999999999</v>
      </c>
      <c r="C82">
        <v>-0.2752</v>
      </c>
      <c r="E82">
        <v>-0.68659999999999999</v>
      </c>
      <c r="F82">
        <v>-0.2752</v>
      </c>
      <c r="H82">
        <v>-1.7164999999999999</v>
      </c>
      <c r="I82">
        <v>-0.68799999999999994</v>
      </c>
    </row>
    <row r="83" spans="2:9" x14ac:dyDescent="0.3">
      <c r="B83">
        <v>-1.7713000000000001</v>
      </c>
      <c r="C83">
        <v>-0.72919999999999996</v>
      </c>
      <c r="E83">
        <v>-1.7713000000000001</v>
      </c>
      <c r="F83">
        <v>-0.72919999999999996</v>
      </c>
      <c r="H83">
        <v>-4.4282500000000002</v>
      </c>
      <c r="I83">
        <v>-1.823</v>
      </c>
    </row>
    <row r="84" spans="2:9" x14ac:dyDescent="0.3">
      <c r="B84">
        <v>-0.50219999999999998</v>
      </c>
      <c r="C84">
        <v>-0.24299999999999999</v>
      </c>
      <c r="E84">
        <v>-0.50219999999999998</v>
      </c>
      <c r="F84">
        <v>-0.24299999999999999</v>
      </c>
      <c r="H84">
        <v>-1.2555000000000001</v>
      </c>
      <c r="I84">
        <v>-0.60749999999999993</v>
      </c>
    </row>
    <row r="85" spans="2:9" x14ac:dyDescent="0.3">
      <c r="B85">
        <v>-0.1208</v>
      </c>
      <c r="C85">
        <v>0.30209999999999998</v>
      </c>
      <c r="E85">
        <v>-0.1208</v>
      </c>
      <c r="F85">
        <v>0.30209999999999998</v>
      </c>
      <c r="H85">
        <v>-0.30199999999999999</v>
      </c>
      <c r="I85">
        <v>0.75524999999999998</v>
      </c>
    </row>
    <row r="86" spans="2:9" x14ac:dyDescent="0.3">
      <c r="B86">
        <v>0.80110000000000003</v>
      </c>
      <c r="C86">
        <v>8.2100000000000006E-2</v>
      </c>
      <c r="E86">
        <v>0.80110000000000003</v>
      </c>
      <c r="F86">
        <v>8.2100000000000006E-2</v>
      </c>
      <c r="H86">
        <v>2.0027500000000003</v>
      </c>
      <c r="I86">
        <v>0.20525000000000002</v>
      </c>
    </row>
    <row r="87" spans="2:9" x14ac:dyDescent="0.3">
      <c r="B87">
        <v>9.9599999999999994E-2</v>
      </c>
      <c r="C87">
        <v>-1.2050000000000001</v>
      </c>
      <c r="E87">
        <v>9.9599999999999994E-2</v>
      </c>
      <c r="F87">
        <v>-1.2050000000000001</v>
      </c>
      <c r="H87">
        <v>0.249</v>
      </c>
      <c r="I87">
        <v>-3.0125000000000002</v>
      </c>
    </row>
    <row r="88" spans="2:9" x14ac:dyDescent="0.3">
      <c r="B88">
        <v>0.63090000000000002</v>
      </c>
      <c r="C88">
        <v>0.8347</v>
      </c>
      <c r="E88">
        <v>0.63090000000000002</v>
      </c>
      <c r="F88">
        <v>0.8347</v>
      </c>
      <c r="H88">
        <v>1.57725</v>
      </c>
      <c r="I88">
        <v>2.0867499999999999</v>
      </c>
    </row>
    <row r="89" spans="2:9" x14ac:dyDescent="0.3">
      <c r="B89">
        <v>0.36509999999999998</v>
      </c>
      <c r="C89">
        <v>-1.4693000000000001</v>
      </c>
      <c r="E89">
        <v>0.36509999999999998</v>
      </c>
      <c r="F89">
        <v>-1.4693000000000001</v>
      </c>
      <c r="H89">
        <v>0.91274999999999995</v>
      </c>
      <c r="I89">
        <v>-3.6732500000000003</v>
      </c>
    </row>
    <row r="90" spans="2:9" x14ac:dyDescent="0.3">
      <c r="B90">
        <v>3.2627999999999999</v>
      </c>
      <c r="C90">
        <v>-1.6899999999999998E-2</v>
      </c>
      <c r="E90">
        <v>3.2627999999999999</v>
      </c>
      <c r="F90">
        <v>-1.6899999999999998E-2</v>
      </c>
      <c r="H90">
        <v>8.157</v>
      </c>
      <c r="I90">
        <v>-4.2249999999999996E-2</v>
      </c>
    </row>
    <row r="91" spans="2:9" x14ac:dyDescent="0.3">
      <c r="B91">
        <v>-1.0142</v>
      </c>
      <c r="C91">
        <v>-1.2826</v>
      </c>
      <c r="E91">
        <v>-1.0142</v>
      </c>
      <c r="F91">
        <v>-1.2826</v>
      </c>
      <c r="H91">
        <v>-2.5354999999999999</v>
      </c>
      <c r="I91">
        <v>-3.2065000000000001</v>
      </c>
    </row>
    <row r="92" spans="2:9" x14ac:dyDescent="0.3">
      <c r="B92">
        <v>-0.71340000000000003</v>
      </c>
      <c r="C92">
        <v>0.50349999999999995</v>
      </c>
      <c r="E92">
        <v>-0.71340000000000003</v>
      </c>
      <c r="F92">
        <v>0.50349999999999995</v>
      </c>
      <c r="H92">
        <v>-1.7835000000000001</v>
      </c>
      <c r="I92">
        <v>1.2587499999999998</v>
      </c>
    </row>
    <row r="93" spans="2:9" x14ac:dyDescent="0.3">
      <c r="B93">
        <v>1.8340000000000001</v>
      </c>
      <c r="C93">
        <v>0.90080000000000005</v>
      </c>
      <c r="E93">
        <v>1.8340000000000001</v>
      </c>
      <c r="F93">
        <v>0.90080000000000005</v>
      </c>
      <c r="H93">
        <v>4.585</v>
      </c>
      <c r="I93">
        <v>2.2520000000000002</v>
      </c>
    </row>
    <row r="94" spans="2:9" x14ac:dyDescent="0.3">
      <c r="B94">
        <v>-1.3643000000000001</v>
      </c>
      <c r="C94">
        <v>-4.9599999999999998E-2</v>
      </c>
      <c r="E94">
        <v>-1.3643000000000001</v>
      </c>
      <c r="F94">
        <v>-4.9599999999999998E-2</v>
      </c>
      <c r="H94">
        <v>-3.4107500000000002</v>
      </c>
      <c r="I94">
        <v>-0.124</v>
      </c>
    </row>
    <row r="95" spans="2:9" x14ac:dyDescent="0.3">
      <c r="B95">
        <v>-0.4128</v>
      </c>
      <c r="C95">
        <v>0.91180000000000005</v>
      </c>
      <c r="E95">
        <v>-0.4128</v>
      </c>
      <c r="F95">
        <v>0.91180000000000005</v>
      </c>
      <c r="H95">
        <v>-1.032</v>
      </c>
      <c r="I95">
        <v>2.2795000000000001</v>
      </c>
    </row>
    <row r="96" spans="2:9" x14ac:dyDescent="0.3">
      <c r="B96">
        <v>-0.84850000000000003</v>
      </c>
      <c r="C96">
        <v>-0.82669999999999999</v>
      </c>
      <c r="E96">
        <v>-0.84850000000000003</v>
      </c>
      <c r="F96">
        <v>-0.82669999999999999</v>
      </c>
      <c r="H96">
        <v>-2.1212499999999999</v>
      </c>
      <c r="I96">
        <v>-2.0667499999999999</v>
      </c>
    </row>
    <row r="97" spans="2:9" x14ac:dyDescent="0.3">
      <c r="B97">
        <v>2.3E-2</v>
      </c>
      <c r="C97">
        <v>1.5727</v>
      </c>
      <c r="E97">
        <v>2.3E-2</v>
      </c>
      <c r="F97">
        <v>1.5727</v>
      </c>
      <c r="H97">
        <v>5.7499999999999996E-2</v>
      </c>
      <c r="I97">
        <v>3.9317500000000001</v>
      </c>
    </row>
    <row r="98" spans="2:9" x14ac:dyDescent="0.3">
      <c r="B98">
        <v>1.5119</v>
      </c>
      <c r="C98">
        <v>-1.5758000000000001</v>
      </c>
      <c r="E98">
        <v>1.5119</v>
      </c>
      <c r="F98">
        <v>-1.5758000000000001</v>
      </c>
      <c r="H98">
        <v>3.7797499999999999</v>
      </c>
      <c r="I98">
        <v>-3.9395000000000002</v>
      </c>
    </row>
    <row r="99" spans="2:9" x14ac:dyDescent="0.3">
      <c r="B99">
        <v>-1.2321</v>
      </c>
      <c r="C99">
        <v>-3.6900000000000002E-2</v>
      </c>
      <c r="E99">
        <v>-1.2321</v>
      </c>
      <c r="F99">
        <v>-3.6900000000000002E-2</v>
      </c>
      <c r="H99">
        <v>-3.0802499999999999</v>
      </c>
      <c r="I99">
        <v>-9.2249999999999999E-2</v>
      </c>
    </row>
    <row r="100" spans="2:9" x14ac:dyDescent="0.3">
      <c r="B100">
        <v>-1.4651000000000001</v>
      </c>
      <c r="C100">
        <v>-0.57450000000000001</v>
      </c>
      <c r="E100">
        <v>-1.4651000000000001</v>
      </c>
      <c r="F100">
        <v>-0.57450000000000001</v>
      </c>
      <c r="H100">
        <v>-3.66275</v>
      </c>
      <c r="I100">
        <v>-1.43625</v>
      </c>
    </row>
    <row r="101" spans="2:9" x14ac:dyDescent="0.3">
      <c r="B101">
        <v>-0.58130000000000004</v>
      </c>
      <c r="C101">
        <v>-1.3526</v>
      </c>
      <c r="E101">
        <v>-0.58130000000000004</v>
      </c>
      <c r="F101">
        <v>-1.3526</v>
      </c>
      <c r="H101">
        <v>-1.4532500000000002</v>
      </c>
      <c r="I101">
        <v>-3.3815</v>
      </c>
    </row>
    <row r="102" spans="2:9" x14ac:dyDescent="0.3">
      <c r="B102">
        <v>0.56410000000000005</v>
      </c>
      <c r="C102">
        <v>-0.55959999999999999</v>
      </c>
      <c r="E102">
        <v>0.56410000000000005</v>
      </c>
      <c r="F102">
        <v>-0.55959999999999999</v>
      </c>
      <c r="H102">
        <v>1.41025</v>
      </c>
      <c r="I102">
        <v>-1.399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0046-A7B1-4054-BEBA-6577340EB919}">
  <dimension ref="B2:E21"/>
  <sheetViews>
    <sheetView workbookViewId="0">
      <selection activeCell="D22" sqref="D22"/>
    </sheetView>
  </sheetViews>
  <sheetFormatPr defaultRowHeight="14.4" x14ac:dyDescent="0.3"/>
  <cols>
    <col min="2" max="2" width="67.44140625" customWidth="1"/>
    <col min="4" max="4" width="26.6640625" customWidth="1"/>
    <col min="5" max="5" width="13.5546875" customWidth="1"/>
    <col min="8" max="8" width="20.44140625" customWidth="1"/>
  </cols>
  <sheetData>
    <row r="2" spans="2:5" x14ac:dyDescent="0.3">
      <c r="B2" t="s">
        <v>148</v>
      </c>
      <c r="D2" t="str" cm="1">
        <f t="array" ref="D2">_xll.RScript.Evaluate(B2)</f>
        <v>gender</v>
      </c>
    </row>
    <row r="3" spans="2:5" x14ac:dyDescent="0.3">
      <c r="B3" t="s">
        <v>149</v>
      </c>
      <c r="D3" t="str" cm="1">
        <f t="array" ref="D3">_xll.RScript.Evaluate(B3)</f>
        <v>gender.factor</v>
      </c>
    </row>
    <row r="4" spans="2:5" x14ac:dyDescent="0.3">
      <c r="B4" t="s">
        <v>150</v>
      </c>
      <c r="D4" t="str" cm="1">
        <f t="array" ref="D4:E5">_xll.RScript.Evaluate(B4)</f>
        <v>1</v>
      </c>
      <c r="E4" t="str">
        <v>Female</v>
      </c>
    </row>
    <row r="5" spans="2:5" x14ac:dyDescent="0.3">
      <c r="D5" t="str">
        <v>2</v>
      </c>
      <c r="E5" t="str">
        <v>Male</v>
      </c>
    </row>
    <row r="6" spans="2:5" x14ac:dyDescent="0.3">
      <c r="B6" t="s">
        <v>151</v>
      </c>
      <c r="D6" t="str" cm="1">
        <f t="array" ref="D6">_xll.RScript.Evaluate(B6)</f>
        <v>OK</v>
      </c>
    </row>
    <row r="8" spans="2:5" x14ac:dyDescent="0.3">
      <c r="B8" t="s">
        <v>206</v>
      </c>
      <c r="D8" t="str" cm="1">
        <f t="array" ref="D8">_xll.RScript.Evaluate(B8)</f>
        <v>gender.factor2</v>
      </c>
    </row>
    <row r="9" spans="2:5" x14ac:dyDescent="0.3">
      <c r="B9" t="s">
        <v>207</v>
      </c>
      <c r="D9" t="str" cm="1">
        <f t="array" ref="D9:E10">_xll.RScript.Evaluate(B9)</f>
        <v>1</v>
      </c>
      <c r="E9" t="str">
        <v>Male</v>
      </c>
    </row>
    <row r="10" spans="2:5" x14ac:dyDescent="0.3">
      <c r="D10" t="str">
        <v>2</v>
      </c>
      <c r="E10" t="str">
        <v>Female</v>
      </c>
    </row>
    <row r="12" spans="2:5" x14ac:dyDescent="0.3">
      <c r="B12" t="s">
        <v>208</v>
      </c>
      <c r="D12" t="str" cm="1">
        <f t="array" ref="D12:E13">_xll.RScript.Evaluate(B12)</f>
        <v>1</v>
      </c>
      <c r="E12" t="str">
        <v>Gen_Male</v>
      </c>
    </row>
    <row r="13" spans="2:5" x14ac:dyDescent="0.3">
      <c r="D13" t="str">
        <v>2</v>
      </c>
      <c r="E13" t="str">
        <v>Gen_Female</v>
      </c>
    </row>
    <row r="15" spans="2:5" x14ac:dyDescent="0.3">
      <c r="B15" t="s">
        <v>152</v>
      </c>
      <c r="D15" t="str" cm="1">
        <f t="array" ref="D15">_xll.RScript.Evaluate(B15)</f>
        <v>pant</v>
      </c>
    </row>
    <row r="16" spans="2:5" x14ac:dyDescent="0.3">
      <c r="B16" t="s">
        <v>153</v>
      </c>
      <c r="D16" t="str" cm="1">
        <f t="array" ref="D16">_xll.RScript.Evaluate(B16)</f>
        <v>pant.factor</v>
      </c>
    </row>
    <row r="17" spans="2:5" x14ac:dyDescent="0.3">
      <c r="B17" t="s">
        <v>154</v>
      </c>
      <c r="D17" t="str" cm="1">
        <f t="array" ref="D17:E19">_xll.RScript.Evaluate(B17)</f>
        <v>1</v>
      </c>
      <c r="E17" t="str">
        <v>L</v>
      </c>
    </row>
    <row r="18" spans="2:5" x14ac:dyDescent="0.3">
      <c r="D18" t="str">
        <v>2</v>
      </c>
      <c r="E18" t="str">
        <v>XL</v>
      </c>
    </row>
    <row r="19" spans="2:5" x14ac:dyDescent="0.3">
      <c r="D19" t="str">
        <v>3</v>
      </c>
      <c r="E19" t="str">
        <v>XXL</v>
      </c>
    </row>
    <row r="21" spans="2:5" x14ac:dyDescent="0.3">
      <c r="B21" t="s">
        <v>155</v>
      </c>
      <c r="D21" t="b" cm="1">
        <f t="array" ref="D21">_xll.RScript.Evaluate(B21)</f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645C-3D18-4F8E-94E4-44D544C6C0CC}">
  <dimension ref="B2:F36"/>
  <sheetViews>
    <sheetView workbookViewId="0">
      <selection activeCell="F9" sqref="F9"/>
    </sheetView>
  </sheetViews>
  <sheetFormatPr defaultRowHeight="14.4" x14ac:dyDescent="0.3"/>
  <cols>
    <col min="2" max="2" width="73.6640625" bestFit="1" customWidth="1"/>
    <col min="4" max="4" width="23.5546875" customWidth="1"/>
    <col min="5" max="5" width="10" customWidth="1"/>
  </cols>
  <sheetData>
    <row r="2" spans="2:5" x14ac:dyDescent="0.3">
      <c r="B2" t="s">
        <v>156</v>
      </c>
      <c r="D2" t="str" cm="1">
        <f t="array" ref="D2">_xll.RScript.Evaluate(B2)</f>
        <v>list_data1</v>
      </c>
    </row>
    <row r="3" spans="2:5" x14ac:dyDescent="0.3">
      <c r="B3" t="s">
        <v>157</v>
      </c>
      <c r="D3" t="str" cm="1">
        <f t="array" ref="D3">_xll.RScript.Evaluate(B3)</f>
        <v>list_data2</v>
      </c>
    </row>
    <row r="5" spans="2:5" x14ac:dyDescent="0.3">
      <c r="B5" t="s">
        <v>158</v>
      </c>
      <c r="D5" t="str" cm="1">
        <f t="array" ref="D5">_xll.RScript.Evaluate(B5)</f>
        <v>names(list_data2)</v>
      </c>
      <c r="E5" t="str" cm="1">
        <f t="array" ref="E5:E7">_xll.RScript.Evaluate(D5)</f>
        <v>1st Quarter</v>
      </c>
    </row>
    <row r="6" spans="2:5" x14ac:dyDescent="0.3">
      <c r="E6" t="str">
        <v>A_Matrix</v>
      </c>
    </row>
    <row r="7" spans="2:5" x14ac:dyDescent="0.3">
      <c r="E7" t="str">
        <v>A Inner list</v>
      </c>
    </row>
    <row r="9" spans="2:5" x14ac:dyDescent="0.3">
      <c r="B9" t="s">
        <v>210</v>
      </c>
      <c r="D9" t="str" cm="1">
        <f t="array" ref="D9">_xll.RScript.Evaluate(B9)</f>
        <v>List of 6 objects.</v>
      </c>
    </row>
    <row r="11" spans="2:5" x14ac:dyDescent="0.3">
      <c r="B11" t="s">
        <v>209</v>
      </c>
      <c r="D11" t="str" cm="1">
        <f t="array" ref="D11:D13">_xll.RScript.Evaluate(B11)</f>
        <v>1st Quarter</v>
      </c>
    </row>
    <row r="12" spans="2:5" x14ac:dyDescent="0.3">
      <c r="D12" t="str">
        <v>A_Matrix</v>
      </c>
    </row>
    <row r="13" spans="2:5" x14ac:dyDescent="0.3">
      <c r="D13" t="str">
        <v>A Inner list</v>
      </c>
    </row>
    <row r="15" spans="2:5" x14ac:dyDescent="0.3">
      <c r="B15" t="s">
        <v>159</v>
      </c>
      <c r="D15" t="str" cm="1">
        <f t="array" ref="D15:D17">_xll.RScript.Evaluate(B15)</f>
        <v>Jan</v>
      </c>
    </row>
    <row r="16" spans="2:5" x14ac:dyDescent="0.3">
      <c r="D16" t="str">
        <v>Feb</v>
      </c>
    </row>
    <row r="17" spans="2:6" x14ac:dyDescent="0.3">
      <c r="D17" t="str">
        <v>Mar</v>
      </c>
    </row>
    <row r="19" spans="2:6" x14ac:dyDescent="0.3">
      <c r="B19" t="s">
        <v>160</v>
      </c>
      <c r="D19" t="str" cm="1">
        <f t="array" ref="D19">_xll.RScript.Evaluate(B19)</f>
        <v>green</v>
      </c>
    </row>
    <row r="21" spans="2:6" x14ac:dyDescent="0.3">
      <c r="B21" t="s">
        <v>161</v>
      </c>
      <c r="D21" cm="1">
        <f t="array" ref="D21:F22">_xll.RScript.Evaluate(B21)</f>
        <v>3</v>
      </c>
      <c r="E21">
        <v>5</v>
      </c>
      <c r="F21">
        <v>-2</v>
      </c>
    </row>
    <row r="22" spans="2:6" x14ac:dyDescent="0.3">
      <c r="D22">
        <v>9</v>
      </c>
      <c r="E22">
        <v>1</v>
      </c>
      <c r="F22">
        <v>8</v>
      </c>
    </row>
    <row r="24" spans="2:6" x14ac:dyDescent="0.3">
      <c r="B24" t="s">
        <v>162</v>
      </c>
      <c r="D24" t="str" cm="1">
        <f t="array" ref="D24:D26">_xll.RScript.Evaluate(B24)</f>
        <v>Jan</v>
      </c>
    </row>
    <row r="25" spans="2:6" x14ac:dyDescent="0.3">
      <c r="D25" t="str">
        <v>Feb</v>
      </c>
    </row>
    <row r="26" spans="2:6" x14ac:dyDescent="0.3">
      <c r="D26" t="str">
        <v>Mar</v>
      </c>
    </row>
    <row r="28" spans="2:6" x14ac:dyDescent="0.3">
      <c r="B28" t="s">
        <v>163</v>
      </c>
      <c r="D28" t="str" cm="1">
        <f t="array" ref="D28">_xll.RScript.Evaluate(B28)</f>
        <v>List of 1 object.</v>
      </c>
    </row>
    <row r="30" spans="2:6" x14ac:dyDescent="0.3">
      <c r="B30" t="s">
        <v>164</v>
      </c>
      <c r="D30" t="str" cm="1">
        <f t="array" ref="D30">_xll.RScript.Evaluate(B30)</f>
        <v>Red</v>
      </c>
    </row>
    <row r="32" spans="2:6" x14ac:dyDescent="0.3">
      <c r="B32" t="s">
        <v>165</v>
      </c>
      <c r="D32" t="str" cm="1">
        <f t="array" ref="D32">_xll.RScript.Evaluate(B32)</f>
        <v>Green</v>
      </c>
    </row>
    <row r="34" spans="2:4" x14ac:dyDescent="0.3">
      <c r="B34" t="s">
        <v>166</v>
      </c>
      <c r="D34" cm="1">
        <f t="array" ref="D34:D36">_xll.RScript.Evaluate(B34)</f>
        <v>21</v>
      </c>
    </row>
    <row r="35" spans="2:4" x14ac:dyDescent="0.3">
      <c r="D35">
        <v>32</v>
      </c>
    </row>
    <row r="36" spans="2:4" x14ac:dyDescent="0.3">
      <c r="D36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94F4-C501-4B42-A754-58495ACBE351}">
  <dimension ref="B2:R24"/>
  <sheetViews>
    <sheetView workbookViewId="0">
      <selection activeCell="H18" sqref="H18"/>
    </sheetView>
  </sheetViews>
  <sheetFormatPr defaultRowHeight="14.4" x14ac:dyDescent="0.3"/>
  <cols>
    <col min="2" max="2" width="46.6640625" bestFit="1" customWidth="1"/>
    <col min="4" max="14" width="5.88671875" customWidth="1"/>
  </cols>
  <sheetData>
    <row r="2" spans="2:18" x14ac:dyDescent="0.3">
      <c r="B2" t="s">
        <v>167</v>
      </c>
      <c r="D2" t="str" cm="1">
        <f t="array" ref="D2">_xll.RScript.Evaluate(B2)</f>
        <v>mat1</v>
      </c>
      <c r="H2" t="str" cm="1">
        <f t="array" ref="H2">_xll.RScript.Evaluate(B4)</f>
        <v>mat2</v>
      </c>
      <c r="L2" t="str" cm="1">
        <f t="array" ref="L2">_xll.RScript.Evaluate(B6)</f>
        <v>add_output</v>
      </c>
    </row>
    <row r="3" spans="2:18" x14ac:dyDescent="0.3">
      <c r="D3" cm="1">
        <f t="array" ref="D3:F5">_xll.RScript.Evaluate(D2)</f>
        <v>5</v>
      </c>
      <c r="E3">
        <v>20</v>
      </c>
      <c r="F3">
        <v>35</v>
      </c>
      <c r="H3" cm="1">
        <f t="array" ref="H3:J5">_xll.RScript.Evaluate(H2)</f>
        <v>50</v>
      </c>
      <c r="I3">
        <v>65</v>
      </c>
      <c r="J3">
        <v>80</v>
      </c>
      <c r="L3" cm="1">
        <f t="array" ref="L3:N5">_xll.RScript.Evaluate(L2)</f>
        <v>55</v>
      </c>
      <c r="M3">
        <v>85</v>
      </c>
      <c r="N3">
        <v>115</v>
      </c>
      <c r="P3" cm="1">
        <f t="array" ref="P3:R5">_xlfn.ANCHORARRAY(D3)+_xlfn.ANCHORARRAY(H3)</f>
        <v>55</v>
      </c>
      <c r="Q3">
        <v>85</v>
      </c>
      <c r="R3">
        <v>115</v>
      </c>
    </row>
    <row r="4" spans="2:18" x14ac:dyDescent="0.3">
      <c r="B4" t="s">
        <v>168</v>
      </c>
      <c r="D4">
        <v>10</v>
      </c>
      <c r="E4">
        <v>25</v>
      </c>
      <c r="F4">
        <v>40</v>
      </c>
      <c r="H4">
        <v>55</v>
      </c>
      <c r="I4">
        <v>70</v>
      </c>
      <c r="J4">
        <v>85</v>
      </c>
      <c r="L4">
        <v>65</v>
      </c>
      <c r="M4">
        <v>95</v>
      </c>
      <c r="N4">
        <v>125</v>
      </c>
      <c r="P4">
        <v>65</v>
      </c>
      <c r="Q4">
        <v>95</v>
      </c>
      <c r="R4">
        <v>125</v>
      </c>
    </row>
    <row r="5" spans="2:18" x14ac:dyDescent="0.3">
      <c r="D5">
        <v>15</v>
      </c>
      <c r="E5">
        <v>30</v>
      </c>
      <c r="F5">
        <v>45</v>
      </c>
      <c r="H5">
        <v>60</v>
      </c>
      <c r="I5">
        <v>75</v>
      </c>
      <c r="J5">
        <v>90</v>
      </c>
      <c r="L5">
        <v>75</v>
      </c>
      <c r="M5">
        <v>105</v>
      </c>
      <c r="N5">
        <v>135</v>
      </c>
      <c r="P5">
        <v>75</v>
      </c>
      <c r="Q5">
        <v>105</v>
      </c>
      <c r="R5">
        <v>135</v>
      </c>
    </row>
    <row r="6" spans="2:18" x14ac:dyDescent="0.3">
      <c r="B6" t="s">
        <v>169</v>
      </c>
    </row>
    <row r="7" spans="2:18" x14ac:dyDescent="0.3">
      <c r="B7" t="s">
        <v>170</v>
      </c>
      <c r="D7" t="s">
        <v>171</v>
      </c>
      <c r="F7" t="s">
        <v>172</v>
      </c>
      <c r="H7" t="s">
        <v>173</v>
      </c>
    </row>
    <row r="8" spans="2:18" x14ac:dyDescent="0.3">
      <c r="D8" cm="1">
        <f t="array" ref="D8:D10">_xll.RScript.Evaluate(D7)</f>
        <v>5</v>
      </c>
      <c r="F8" cm="1">
        <f t="array" ref="F8:F10">_xll.RScript.Evaluate(F7)</f>
        <v>35</v>
      </c>
      <c r="H8" t="str" cm="1">
        <f t="array" ref="H8">_xll.RScript.Evaluate(H7)</f>
        <v xml:space="preserve">Exception: Error in mat1[, 4] : subscript out of bounds
</v>
      </c>
    </row>
    <row r="9" spans="2:18" x14ac:dyDescent="0.3">
      <c r="D9">
        <v>20</v>
      </c>
      <c r="F9">
        <v>40</v>
      </c>
    </row>
    <row r="10" spans="2:18" x14ac:dyDescent="0.3">
      <c r="D10">
        <v>35</v>
      </c>
      <c r="F10">
        <v>45</v>
      </c>
    </row>
    <row r="12" spans="2:18" x14ac:dyDescent="0.3">
      <c r="B12" t="s">
        <v>174</v>
      </c>
      <c r="L12" t="str" cm="1">
        <f t="array" ref="L12">_xll.RScript.Evaluate(B12)</f>
        <v>sub_output</v>
      </c>
    </row>
    <row r="13" spans="2:18" x14ac:dyDescent="0.3">
      <c r="L13" cm="1">
        <f t="array" ref="L13:N15">_xll.RScript.Evaluate(L12)</f>
        <v>-45</v>
      </c>
      <c r="M13">
        <v>-45</v>
      </c>
      <c r="N13">
        <v>-45</v>
      </c>
      <c r="P13" cm="1">
        <f t="array" ref="P13:R15">_xlfn.ANCHORARRAY(D3)-_xlfn.ANCHORARRAY(H3)</f>
        <v>-45</v>
      </c>
      <c r="Q13">
        <v>-45</v>
      </c>
      <c r="R13">
        <v>-45</v>
      </c>
    </row>
    <row r="14" spans="2:18" x14ac:dyDescent="0.3">
      <c r="L14">
        <v>-45</v>
      </c>
      <c r="M14">
        <v>-45</v>
      </c>
      <c r="N14">
        <v>-45</v>
      </c>
      <c r="P14">
        <v>-45</v>
      </c>
      <c r="Q14">
        <v>-45</v>
      </c>
      <c r="R14">
        <v>-45</v>
      </c>
    </row>
    <row r="15" spans="2:18" x14ac:dyDescent="0.3">
      <c r="L15">
        <v>-45</v>
      </c>
      <c r="M15">
        <v>-45</v>
      </c>
      <c r="N15">
        <v>-45</v>
      </c>
      <c r="P15">
        <v>-45</v>
      </c>
      <c r="Q15">
        <v>-45</v>
      </c>
      <c r="R15">
        <v>-45</v>
      </c>
    </row>
    <row r="17" spans="2:2" x14ac:dyDescent="0.3">
      <c r="B17" t="s">
        <v>175</v>
      </c>
    </row>
    <row r="18" spans="2:2" x14ac:dyDescent="0.3">
      <c r="B18" t="s">
        <v>176</v>
      </c>
    </row>
    <row r="19" spans="2:2" x14ac:dyDescent="0.3">
      <c r="B19" t="s">
        <v>177</v>
      </c>
    </row>
    <row r="20" spans="2:2" x14ac:dyDescent="0.3">
      <c r="B20" t="s">
        <v>178</v>
      </c>
    </row>
    <row r="21" spans="2:2" x14ac:dyDescent="0.3">
      <c r="B21" t="s">
        <v>179</v>
      </c>
    </row>
    <row r="22" spans="2:2" x14ac:dyDescent="0.3">
      <c r="B22" t="s">
        <v>180</v>
      </c>
    </row>
    <row r="23" spans="2:2" x14ac:dyDescent="0.3">
      <c r="B23" t="s">
        <v>181</v>
      </c>
    </row>
    <row r="24" spans="2:2" x14ac:dyDescent="0.3">
      <c r="B24" t="s">
        <v>182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D1F0-2F79-48E2-8E44-B58BE56324E9}">
  <dimension ref="B2:I102"/>
  <sheetViews>
    <sheetView topLeftCell="C1" zoomScaleNormal="100" workbookViewId="0">
      <selection activeCell="G3" sqref="G3"/>
    </sheetView>
  </sheetViews>
  <sheetFormatPr defaultRowHeight="14.4" x14ac:dyDescent="0.3"/>
  <cols>
    <col min="1" max="1" width="5.5546875" customWidth="1"/>
    <col min="2" max="2" width="57.21875" customWidth="1"/>
    <col min="3" max="3" width="3.109375" customWidth="1"/>
    <col min="4" max="4" width="38.33203125" style="3" bestFit="1" customWidth="1"/>
    <col min="5" max="6" width="12.6640625" bestFit="1" customWidth="1"/>
    <col min="7" max="7" width="39.5546875" customWidth="1"/>
  </cols>
  <sheetData>
    <row r="2" spans="2:9" x14ac:dyDescent="0.3">
      <c r="B2" t="s">
        <v>183</v>
      </c>
      <c r="D2" s="3" t="str" cm="1">
        <f t="array" ref="D2">_xll.RScript.Evaluate(B2)</f>
        <v>z</v>
      </c>
      <c r="F2" s="4" t="s">
        <v>184</v>
      </c>
      <c r="G2" s="4">
        <v>18</v>
      </c>
    </row>
    <row r="3" spans="2:9" x14ac:dyDescent="0.3">
      <c r="D3" s="5" t="str" cm="1">
        <f t="array" ref="D3:D102">_xll.RScript.Evaluate(D2)</f>
        <v>-0.380423381850074+0.370005314274227i</v>
      </c>
      <c r="E3">
        <f>IMREAL(D3)</f>
        <v>-0.38042338185007402</v>
      </c>
      <c r="F3">
        <f>IMAGINARY(D3)</f>
        <v>0.370005314274227</v>
      </c>
      <c r="G3" t="str">
        <f>COMPLEX(ROUND(E3, $G$2), ROUND(F3, $G$2))</f>
        <v>-0.380423381850074+0.370005314274227i</v>
      </c>
      <c r="H3" t="str">
        <f>IF(G3=D3, "OK", "FAIL")</f>
        <v>OK</v>
      </c>
      <c r="I3" s="6"/>
    </row>
    <row r="4" spans="2:9" x14ac:dyDescent="0.3">
      <c r="D4" s="3" t="str">
        <v>3.59511899426475+0.195521244055853i</v>
      </c>
      <c r="E4">
        <f t="shared" ref="E4:E67" si="0">IMREAL(D4)</f>
        <v>3.5951189942647499</v>
      </c>
      <c r="F4">
        <f t="shared" ref="F4:F67" si="1">IMAGINARY(D4)</f>
        <v>0.195521244055853</v>
      </c>
      <c r="G4" t="str">
        <f t="shared" ref="G4:G67" si="2">COMPLEX(ROUND(E4, $G$2), ROUND(F4, $G$2))</f>
        <v>3.59511899426475+0.195521244055853i</v>
      </c>
      <c r="H4" t="str">
        <f t="shared" ref="H4:H67" si="3">IF(G4=D4, "OK", "FAIL")</f>
        <v>OK</v>
      </c>
    </row>
    <row r="5" spans="2:9" x14ac:dyDescent="0.3">
      <c r="D5" s="3" t="str">
        <v>1.42906660817829-1.69858996526513i</v>
      </c>
      <c r="E5">
        <f t="shared" si="0"/>
        <v>1.4290666081782899</v>
      </c>
      <c r="F5">
        <f t="shared" si="1"/>
        <v>-1.69858996526513</v>
      </c>
      <c r="G5" t="str">
        <f t="shared" si="2"/>
        <v>1.42906660817829-1.69858996526513i</v>
      </c>
      <c r="H5" t="str">
        <f t="shared" si="3"/>
        <v>OK</v>
      </c>
    </row>
    <row r="6" spans="2:9" x14ac:dyDescent="0.3">
      <c r="D6" s="3" t="str">
        <v>-0.179316728266741-0.3616683722835i</v>
      </c>
      <c r="E6">
        <f t="shared" si="0"/>
        <v>-0.179316728266741</v>
      </c>
      <c r="F6">
        <f t="shared" si="1"/>
        <v>-0.36166837228350002</v>
      </c>
      <c r="G6" t="str">
        <f t="shared" si="2"/>
        <v>-0.179316728266741-0.3616683722835i</v>
      </c>
      <c r="H6" t="str">
        <f t="shared" si="3"/>
        <v>OK</v>
      </c>
    </row>
    <row r="7" spans="2:9" x14ac:dyDescent="0.3">
      <c r="D7" s="3" t="str">
        <v>-0.23722173498805-0.478406593669504i</v>
      </c>
      <c r="E7">
        <f t="shared" si="0"/>
        <v>-0.23722173498804999</v>
      </c>
      <c r="F7">
        <f t="shared" si="1"/>
        <v>-0.478406593669504</v>
      </c>
      <c r="G7" t="str">
        <f t="shared" si="2"/>
        <v>-0.23722173498805-0.478406593669504i</v>
      </c>
      <c r="H7" t="str">
        <f t="shared" si="3"/>
        <v>OK</v>
      </c>
    </row>
    <row r="8" spans="2:9" x14ac:dyDescent="0.3">
      <c r="D8" s="3" t="str">
        <v>-0.150060373453254-1.17796267178894i</v>
      </c>
      <c r="E8">
        <f t="shared" si="0"/>
        <v>-0.15006037345325399</v>
      </c>
      <c r="F8">
        <f t="shared" si="1"/>
        <v>-1.17796267178894</v>
      </c>
      <c r="G8" t="str">
        <f t="shared" si="2"/>
        <v>-0.150060373453254-1.17796267178894i</v>
      </c>
      <c r="H8" t="str">
        <f t="shared" si="3"/>
        <v>OK</v>
      </c>
    </row>
    <row r="9" spans="2:9" x14ac:dyDescent="0.3">
      <c r="D9" s="3" t="str">
        <v>1.6723111706226-0.113664607078772i</v>
      </c>
      <c r="E9">
        <f t="shared" si="0"/>
        <v>1.6723111706225999</v>
      </c>
      <c r="F9">
        <f t="shared" si="1"/>
        <v>-0.113664607078772</v>
      </c>
      <c r="G9" t="str">
        <f t="shared" si="2"/>
        <v>1.6723111706226-0.113664607078772i</v>
      </c>
      <c r="H9" t="str">
        <f t="shared" si="3"/>
        <v>OK</v>
      </c>
    </row>
    <row r="10" spans="2:9" x14ac:dyDescent="0.3">
      <c r="D10" s="3" t="str">
        <v>-0.632236699831206+1.68151658713129i</v>
      </c>
      <c r="E10">
        <f t="shared" si="0"/>
        <v>-0.63223669983120601</v>
      </c>
      <c r="F10">
        <f t="shared" si="1"/>
        <v>1.68151658713129</v>
      </c>
      <c r="G10" t="str">
        <f t="shared" si="2"/>
        <v>-0.632236699831206+1.68151658713129i</v>
      </c>
      <c r="H10" t="str">
        <f t="shared" si="3"/>
        <v>OK</v>
      </c>
    </row>
    <row r="11" spans="2:9" x14ac:dyDescent="0.3">
      <c r="D11" s="3" t="str">
        <v>-0.363043758755356-0.271958718499594i</v>
      </c>
      <c r="E11">
        <f t="shared" si="0"/>
        <v>-0.36304375875535599</v>
      </c>
      <c r="F11">
        <f t="shared" si="1"/>
        <v>-0.27195871849959402</v>
      </c>
      <c r="G11" t="str">
        <f t="shared" si="2"/>
        <v>-0.363043758755356-0.271958718499594i</v>
      </c>
      <c r="H11" t="str">
        <f t="shared" si="3"/>
        <v>OK</v>
      </c>
    </row>
    <row r="12" spans="2:9" x14ac:dyDescent="0.3">
      <c r="D12" s="3" t="str">
        <v>-0.462046057512136+1.79945511384139i</v>
      </c>
      <c r="E12">
        <f t="shared" si="0"/>
        <v>-0.46204605751213601</v>
      </c>
      <c r="F12">
        <f t="shared" si="1"/>
        <v>1.7994551138413899</v>
      </c>
      <c r="G12" t="str">
        <f t="shared" si="2"/>
        <v>-0.462046057512136+1.79945511384139i</v>
      </c>
      <c r="H12" t="str">
        <f t="shared" si="3"/>
        <v>OK</v>
      </c>
    </row>
    <row r="13" spans="2:9" x14ac:dyDescent="0.3">
      <c r="D13" s="3" t="str">
        <v>1.50374458370141-0.0126746610743221i</v>
      </c>
      <c r="E13">
        <f t="shared" si="0"/>
        <v>1.5037445837014101</v>
      </c>
      <c r="F13">
        <f t="shared" si="1"/>
        <v>-1.2674661074322101E-2</v>
      </c>
      <c r="G13" t="str">
        <f t="shared" si="2"/>
        <v>1.50374458370141-0.0126746610743221i</v>
      </c>
      <c r="H13" t="str">
        <f t="shared" si="3"/>
        <v>OK</v>
      </c>
    </row>
    <row r="14" spans="2:9" x14ac:dyDescent="0.3">
      <c r="D14" s="3" t="str">
        <v>0.265575610725953-0.0629762082573113i</v>
      </c>
      <c r="E14">
        <f t="shared" si="0"/>
        <v>0.26557561072595298</v>
      </c>
      <c r="F14">
        <f t="shared" si="1"/>
        <v>-6.2976208257311303E-2</v>
      </c>
      <c r="G14" t="str">
        <f t="shared" si="2"/>
        <v>0.265575610725953-0.0629762082573113i</v>
      </c>
      <c r="H14" t="str">
        <f t="shared" si="3"/>
        <v>OK</v>
      </c>
    </row>
    <row r="15" spans="2:9" x14ac:dyDescent="0.3">
      <c r="D15" s="3" t="str">
        <v>0.228273769787887-0.203001376885616i</v>
      </c>
      <c r="E15">
        <f t="shared" si="0"/>
        <v>0.22827376978788699</v>
      </c>
      <c r="F15">
        <f t="shared" si="1"/>
        <v>-0.20300137688561601</v>
      </c>
      <c r="G15" t="str">
        <f t="shared" si="2"/>
        <v>0.228273769787887-0.203001376885616i</v>
      </c>
      <c r="H15" t="str">
        <f t="shared" si="3"/>
        <v>OK</v>
      </c>
    </row>
    <row r="16" spans="2:9" x14ac:dyDescent="0.3">
      <c r="D16" s="3" t="str">
        <v>0.998186302266315+0.650621605716463i</v>
      </c>
      <c r="E16">
        <f t="shared" si="0"/>
        <v>0.998186302266315</v>
      </c>
      <c r="F16">
        <f t="shared" si="1"/>
        <v>0.65062160571646299</v>
      </c>
      <c r="G16" t="str">
        <f t="shared" si="2"/>
        <v>0.998186302266315+0.650621605716463i</v>
      </c>
      <c r="H16" t="str">
        <f t="shared" si="3"/>
        <v>OK</v>
      </c>
    </row>
    <row r="17" spans="4:8" x14ac:dyDescent="0.3">
      <c r="D17" s="3" t="str">
        <v>0.503883834371391+0.283933017648257i</v>
      </c>
      <c r="E17">
        <f t="shared" si="0"/>
        <v>0.50388383437139095</v>
      </c>
      <c r="F17">
        <f t="shared" si="1"/>
        <v>0.28393301764825701</v>
      </c>
      <c r="G17" t="str">
        <f t="shared" si="2"/>
        <v>0.503883834371391+0.283933017648257i</v>
      </c>
      <c r="H17" t="str">
        <f t="shared" si="3"/>
        <v>OK</v>
      </c>
    </row>
    <row r="18" spans="4:8" x14ac:dyDescent="0.3">
      <c r="D18" s="3" t="str">
        <v>0.500682313768012-1.07527042770102i</v>
      </c>
      <c r="E18">
        <f t="shared" si="0"/>
        <v>0.50068231376801198</v>
      </c>
      <c r="F18">
        <f t="shared" si="1"/>
        <v>-1.0752704277010201</v>
      </c>
      <c r="G18" t="str">
        <f t="shared" si="2"/>
        <v>0.500682313768012-1.07527042770102i</v>
      </c>
      <c r="H18" t="str">
        <f t="shared" si="3"/>
        <v>OK</v>
      </c>
    </row>
    <row r="19" spans="4:8" x14ac:dyDescent="0.3">
      <c r="D19" s="3" t="str">
        <v>0.255921539368493+0.205800511039202i</v>
      </c>
      <c r="E19">
        <f t="shared" si="0"/>
        <v>0.25592153936849299</v>
      </c>
      <c r="F19">
        <f t="shared" si="1"/>
        <v>0.20580051103920199</v>
      </c>
      <c r="G19" t="str">
        <f t="shared" si="2"/>
        <v>0.255921539368493+0.205800511039202i</v>
      </c>
      <c r="H19" t="str">
        <f t="shared" si="3"/>
        <v>OK</v>
      </c>
    </row>
    <row r="20" spans="4:8" x14ac:dyDescent="0.3">
      <c r="D20" s="3" t="str">
        <v>1.50963376364605-0.228475918514487i</v>
      </c>
      <c r="E20">
        <f t="shared" si="0"/>
        <v>1.50963376364605</v>
      </c>
      <c r="F20">
        <f t="shared" si="1"/>
        <v>-0.22847591851448701</v>
      </c>
      <c r="G20" t="str">
        <f t="shared" si="2"/>
        <v>1.50963376364605-0.228475918514487i</v>
      </c>
      <c r="H20" t="str">
        <f t="shared" si="3"/>
        <v>OK</v>
      </c>
    </row>
    <row r="21" spans="4:8" x14ac:dyDescent="0.3">
      <c r="D21" s="3" t="str">
        <v>1.00725817912583+0.235887153632737i</v>
      </c>
      <c r="E21">
        <f t="shared" si="0"/>
        <v>1.0072581791258299</v>
      </c>
      <c r="F21">
        <f t="shared" si="1"/>
        <v>0.23588715363273699</v>
      </c>
      <c r="G21" t="str">
        <f t="shared" si="2"/>
        <v>1.00725817912583+0.235887153632737i</v>
      </c>
      <c r="H21" t="str">
        <f t="shared" si="3"/>
        <v>OK</v>
      </c>
    </row>
    <row r="22" spans="4:8" x14ac:dyDescent="0.3">
      <c r="D22" s="3" t="str">
        <v>-0.436480929090423-0.53831112157763i</v>
      </c>
      <c r="E22">
        <f t="shared" si="0"/>
        <v>-0.43648092909042302</v>
      </c>
      <c r="F22">
        <f t="shared" si="1"/>
        <v>-0.53831112157762995</v>
      </c>
      <c r="G22" t="str">
        <f t="shared" si="2"/>
        <v>-0.436480929090423-0.53831112157763i</v>
      </c>
      <c r="H22" t="str">
        <f t="shared" si="3"/>
        <v>OK</v>
      </c>
    </row>
    <row r="23" spans="4:8" x14ac:dyDescent="0.3">
      <c r="D23" s="3" t="str">
        <v>0.586377957100549-1.0373561335326i</v>
      </c>
      <c r="E23">
        <f t="shared" si="0"/>
        <v>0.58637795710054896</v>
      </c>
      <c r="F23">
        <f t="shared" si="1"/>
        <v>-1.0373561335326</v>
      </c>
      <c r="G23" t="str">
        <f t="shared" si="2"/>
        <v>0.586377957100549-1.0373561335326i</v>
      </c>
      <c r="H23" t="str">
        <f t="shared" si="3"/>
        <v>OK</v>
      </c>
    </row>
    <row r="24" spans="4:8" x14ac:dyDescent="0.3">
      <c r="D24" s="3" t="str">
        <v>0.826315947781413+0.863647273356401i</v>
      </c>
      <c r="E24">
        <f t="shared" si="0"/>
        <v>0.82631594778141304</v>
      </c>
      <c r="F24">
        <f t="shared" si="1"/>
        <v>0.86364727335640101</v>
      </c>
      <c r="G24" t="str">
        <f t="shared" si="2"/>
        <v>0.826315947781413+0.863647273356401i</v>
      </c>
      <c r="H24" t="str">
        <f t="shared" si="3"/>
        <v>OK</v>
      </c>
    </row>
    <row r="25" spans="4:8" x14ac:dyDescent="0.3">
      <c r="D25" s="3" t="str">
        <v>-1.86784163385986-0.204628899911475i</v>
      </c>
      <c r="E25">
        <f t="shared" si="0"/>
        <v>-1.86784163385986</v>
      </c>
      <c r="F25">
        <f t="shared" si="1"/>
        <v>-0.20462889991147501</v>
      </c>
      <c r="G25" t="str">
        <f t="shared" si="2"/>
        <v>-1.86784163385986-0.204628899911475i</v>
      </c>
      <c r="H25" t="str">
        <f t="shared" si="3"/>
        <v>OK</v>
      </c>
    </row>
    <row r="26" spans="4:8" x14ac:dyDescent="0.3">
      <c r="D26" s="3" t="str">
        <v>-1.02033505933274+0.439201895012886i</v>
      </c>
      <c r="E26">
        <f t="shared" si="0"/>
        <v>-1.02033505933274</v>
      </c>
      <c r="F26">
        <f t="shared" si="1"/>
        <v>0.43920189501288598</v>
      </c>
      <c r="G26" t="str">
        <f t="shared" si="2"/>
        <v>-1.02033505933274+0.439201895012886i</v>
      </c>
      <c r="H26" t="str">
        <f t="shared" si="3"/>
        <v>OK</v>
      </c>
    </row>
    <row r="27" spans="4:8" x14ac:dyDescent="0.3">
      <c r="D27" s="3" t="str">
        <v>0.220789635032726+0.0877017609173915i</v>
      </c>
      <c r="E27">
        <f t="shared" si="0"/>
        <v>0.220789635032726</v>
      </c>
      <c r="F27">
        <f t="shared" si="1"/>
        <v>8.77017609173915E-2</v>
      </c>
      <c r="G27" t="str">
        <f t="shared" si="2"/>
        <v>0.220789635032726+0.0877017609173915i</v>
      </c>
      <c r="H27" t="str">
        <f t="shared" si="3"/>
        <v>OK</v>
      </c>
    </row>
    <row r="28" spans="4:8" x14ac:dyDescent="0.3">
      <c r="D28" s="3" t="str">
        <v>-1.04670402167935+0.70120741280245i</v>
      </c>
      <c r="E28">
        <f t="shared" si="0"/>
        <v>-1.0467040216793499</v>
      </c>
      <c r="F28">
        <f t="shared" si="1"/>
        <v>0.70120741280245003</v>
      </c>
      <c r="G28" t="str">
        <f t="shared" si="2"/>
        <v>-1.04670402167935+0.70120741280245i</v>
      </c>
      <c r="H28" t="str">
        <f t="shared" si="3"/>
        <v>OK</v>
      </c>
    </row>
    <row r="29" spans="4:8" x14ac:dyDescent="0.3">
      <c r="D29" s="3" t="str">
        <v>0.447021982118156+0.392113991219236i</v>
      </c>
      <c r="E29">
        <f t="shared" si="0"/>
        <v>0.44702198211815602</v>
      </c>
      <c r="F29">
        <f t="shared" si="1"/>
        <v>0.39211399121923601</v>
      </c>
      <c r="G29" t="str">
        <f t="shared" si="2"/>
        <v>0.447021982118156+0.392113991219236i</v>
      </c>
      <c r="H29" t="str">
        <f t="shared" si="3"/>
        <v>OK</v>
      </c>
    </row>
    <row r="30" spans="4:8" x14ac:dyDescent="0.3">
      <c r="D30" s="3" t="str">
        <v>-0.388824741301795+1.30274261574621i</v>
      </c>
      <c r="E30">
        <f t="shared" si="0"/>
        <v>-0.38882474130179501</v>
      </c>
      <c r="F30">
        <f t="shared" si="1"/>
        <v>1.3027426157462101</v>
      </c>
      <c r="G30" t="str">
        <f t="shared" si="2"/>
        <v>-0.388824741301795+1.30274261574621i</v>
      </c>
      <c r="H30" t="str">
        <f t="shared" si="3"/>
        <v>OK</v>
      </c>
    </row>
    <row r="31" spans="4:8" x14ac:dyDescent="0.3">
      <c r="D31" s="3" t="str">
        <v>-1.10414160256763+0.854070652296215i</v>
      </c>
      <c r="E31">
        <f t="shared" si="0"/>
        <v>-1.1041416025676301</v>
      </c>
      <c r="F31">
        <f t="shared" si="1"/>
        <v>0.85407065229621504</v>
      </c>
      <c r="G31" t="str">
        <f t="shared" si="2"/>
        <v>-1.10414160256763+0.854070652296215i</v>
      </c>
      <c r="H31" t="str">
        <f t="shared" si="3"/>
        <v>OK</v>
      </c>
    </row>
    <row r="32" spans="4:8" x14ac:dyDescent="0.3">
      <c r="D32" s="3" t="str">
        <v>-1.015973727277-1.60113818847017i</v>
      </c>
      <c r="E32">
        <f t="shared" si="0"/>
        <v>-1.015973727277</v>
      </c>
      <c r="F32">
        <f t="shared" si="1"/>
        <v>-1.6011381884701701</v>
      </c>
      <c r="G32" t="str">
        <f t="shared" si="2"/>
        <v>-1.015973727277-1.60113818847017i</v>
      </c>
      <c r="H32" t="str">
        <f t="shared" si="3"/>
        <v>OK</v>
      </c>
    </row>
    <row r="33" spans="4:8" x14ac:dyDescent="0.3">
      <c r="D33" s="3" t="str">
        <v>0.218754879547233+2.33915110109041i</v>
      </c>
      <c r="E33">
        <f t="shared" si="0"/>
        <v>0.21875487954723299</v>
      </c>
      <c r="F33">
        <f t="shared" si="1"/>
        <v>2.33915110109041</v>
      </c>
      <c r="G33" t="str">
        <f t="shared" si="2"/>
        <v>0.218754879547233+2.33915110109041i</v>
      </c>
      <c r="H33" t="str">
        <f t="shared" si="3"/>
        <v>OK</v>
      </c>
    </row>
    <row r="34" spans="4:8" x14ac:dyDescent="0.3">
      <c r="D34" s="3" t="str">
        <v>1.25103059713347-0.124701380053342i</v>
      </c>
      <c r="E34">
        <f t="shared" si="0"/>
        <v>1.2510305971334701</v>
      </c>
      <c r="F34">
        <f t="shared" si="1"/>
        <v>-0.124701380053342</v>
      </c>
      <c r="G34" t="str">
        <f t="shared" si="2"/>
        <v>1.25103059713347-0.124701380053342i</v>
      </c>
      <c r="H34" t="str">
        <f t="shared" si="3"/>
        <v>OK</v>
      </c>
    </row>
    <row r="35" spans="4:8" x14ac:dyDescent="0.3">
      <c r="D35" s="3" t="str">
        <v>-0.400667457870699-0.130810019337373i</v>
      </c>
      <c r="E35">
        <f t="shared" si="0"/>
        <v>-0.40066745787069902</v>
      </c>
      <c r="F35">
        <f t="shared" si="1"/>
        <v>-0.13081001933737299</v>
      </c>
      <c r="G35" t="str">
        <f t="shared" si="2"/>
        <v>-0.400667457870699-0.130810019337373i</v>
      </c>
      <c r="H35" t="str">
        <f t="shared" si="3"/>
        <v>OK</v>
      </c>
    </row>
    <row r="36" spans="4:8" x14ac:dyDescent="0.3">
      <c r="D36" s="3" t="str">
        <v>-0.803783210982203+0.145144179948735i</v>
      </c>
      <c r="E36">
        <f t="shared" si="0"/>
        <v>-0.80378321098220296</v>
      </c>
      <c r="F36">
        <f t="shared" si="1"/>
        <v>0.14514417994873499</v>
      </c>
      <c r="G36" t="str">
        <f t="shared" si="2"/>
        <v>-0.803783210982203+0.145144179948735i</v>
      </c>
      <c r="H36" t="str">
        <f t="shared" si="3"/>
        <v>OK</v>
      </c>
    </row>
    <row r="37" spans="4:8" x14ac:dyDescent="0.3">
      <c r="D37" s="3" t="str">
        <v>-0.56550909161372+0.570953705341257i</v>
      </c>
      <c r="E37">
        <f t="shared" si="0"/>
        <v>-0.56550909161371998</v>
      </c>
      <c r="F37">
        <f t="shared" si="1"/>
        <v>0.570953705341257</v>
      </c>
      <c r="G37" t="str">
        <f t="shared" si="2"/>
        <v>-0.56550909161372+0.570953705341257i</v>
      </c>
      <c r="H37" t="str">
        <f t="shared" si="3"/>
        <v>OK</v>
      </c>
    </row>
    <row r="38" spans="4:8" x14ac:dyDescent="0.3">
      <c r="D38" s="3" t="str">
        <v>0.316320780000871+0.642460849449108i</v>
      </c>
      <c r="E38">
        <f t="shared" si="0"/>
        <v>0.31632078000087099</v>
      </c>
      <c r="F38">
        <f t="shared" si="1"/>
        <v>0.64246084944910797</v>
      </c>
      <c r="G38" t="str">
        <f t="shared" si="2"/>
        <v>0.316320780000871+0.642460849449108i</v>
      </c>
      <c r="H38" t="str">
        <f t="shared" si="3"/>
        <v>OK</v>
      </c>
    </row>
    <row r="39" spans="4:8" x14ac:dyDescent="0.3">
      <c r="D39" s="3" t="str">
        <v>-0.100993414013384-0.431386066758254i</v>
      </c>
      <c r="E39">
        <f t="shared" si="0"/>
        <v>-0.10099341401338401</v>
      </c>
      <c r="F39">
        <f t="shared" si="1"/>
        <v>-0.43138606675825403</v>
      </c>
      <c r="G39" t="str">
        <f t="shared" si="2"/>
        <v>-0.100993414013384-0.431386066758254i</v>
      </c>
      <c r="H39" t="str">
        <f t="shared" si="3"/>
        <v>OK</v>
      </c>
    </row>
    <row r="40" spans="4:8" x14ac:dyDescent="0.3">
      <c r="D40" s="3" t="str">
        <v>-0.898305108230778-0.42022016292579i</v>
      </c>
      <c r="E40">
        <f t="shared" si="0"/>
        <v>-0.89830510823077803</v>
      </c>
      <c r="F40">
        <f t="shared" si="1"/>
        <v>-0.42022016292579001</v>
      </c>
      <c r="G40" t="str">
        <f t="shared" si="2"/>
        <v>-0.898305108230778-0.42022016292579i</v>
      </c>
      <c r="H40" t="str">
        <f t="shared" si="3"/>
        <v>OK</v>
      </c>
    </row>
    <row r="41" spans="4:8" x14ac:dyDescent="0.3">
      <c r="D41" s="3" t="str">
        <v>-0.348750371148591+1.18925850987545i</v>
      </c>
      <c r="E41">
        <f t="shared" si="0"/>
        <v>-0.34875037114859098</v>
      </c>
      <c r="F41">
        <f t="shared" si="1"/>
        <v>1.18925850987545</v>
      </c>
      <c r="G41" t="str">
        <f t="shared" si="2"/>
        <v>-0.348750371148591+1.18925850987545i</v>
      </c>
      <c r="H41" t="str">
        <f t="shared" si="3"/>
        <v>OK</v>
      </c>
    </row>
    <row r="42" spans="4:8" x14ac:dyDescent="0.3">
      <c r="D42" s="3" t="str">
        <v>0.492780645893229-0.754084024620817i</v>
      </c>
      <c r="E42">
        <f t="shared" si="0"/>
        <v>0.49278064589322901</v>
      </c>
      <c r="F42">
        <f t="shared" si="1"/>
        <v>-0.75408402462081703</v>
      </c>
      <c r="G42" t="str">
        <f t="shared" si="2"/>
        <v>0.492780645893229-0.754084024620817i</v>
      </c>
      <c r="H42" t="str">
        <f t="shared" si="3"/>
        <v>OK</v>
      </c>
    </row>
    <row r="43" spans="4:8" x14ac:dyDescent="0.3">
      <c r="D43" s="3" t="str">
        <v>-0.0467505965477723+0.839726417457417i</v>
      </c>
      <c r="E43">
        <f t="shared" si="0"/>
        <v>-4.6750596547772298E-2</v>
      </c>
      <c r="F43">
        <f t="shared" si="1"/>
        <v>0.83972641745741705</v>
      </c>
      <c r="G43" t="str">
        <f t="shared" si="2"/>
        <v>-0.0467505965477723+0.839726417457417i</v>
      </c>
      <c r="H43" t="str">
        <f t="shared" si="3"/>
        <v>OK</v>
      </c>
    </row>
    <row r="44" spans="4:8" x14ac:dyDescent="0.3">
      <c r="D44" s="3" t="str">
        <v>-0.649459819158221-1.75788044363074i</v>
      </c>
      <c r="E44">
        <f t="shared" si="0"/>
        <v>-0.64945981915822104</v>
      </c>
      <c r="F44">
        <f t="shared" si="1"/>
        <v>-1.75788044363074</v>
      </c>
      <c r="G44" t="str">
        <f t="shared" si="2"/>
        <v>-0.649459819158221-1.75788044363074i</v>
      </c>
      <c r="H44" t="str">
        <f t="shared" si="3"/>
        <v>OK</v>
      </c>
    </row>
    <row r="45" spans="4:8" x14ac:dyDescent="0.3">
      <c r="D45" s="3" t="str">
        <v>0.55037564205409+0.45665046994817i</v>
      </c>
      <c r="E45">
        <f t="shared" si="0"/>
        <v>0.55037564205408995</v>
      </c>
      <c r="F45">
        <f t="shared" si="1"/>
        <v>0.45665046994816999</v>
      </c>
      <c r="G45" t="str">
        <f t="shared" si="2"/>
        <v>0.55037564205409+0.45665046994817i</v>
      </c>
      <c r="H45" t="str">
        <f t="shared" si="3"/>
        <v>OK</v>
      </c>
    </row>
    <row r="46" spans="4:8" x14ac:dyDescent="0.3">
      <c r="D46" s="3" t="str">
        <v>-0.81395055801698+2.00298067158661i</v>
      </c>
      <c r="E46">
        <f t="shared" si="0"/>
        <v>-0.81395055801698002</v>
      </c>
      <c r="F46">
        <f t="shared" si="1"/>
        <v>2.0029806715866099</v>
      </c>
      <c r="G46" t="str">
        <f t="shared" si="2"/>
        <v>-0.81395055801698+2.00298067158661i</v>
      </c>
      <c r="H46" t="str">
        <f t="shared" si="3"/>
        <v>OK</v>
      </c>
    </row>
    <row r="47" spans="4:8" x14ac:dyDescent="0.3">
      <c r="D47" s="3" t="str">
        <v>-1.56495769807907+0.871233724962588i</v>
      </c>
      <c r="E47">
        <f t="shared" si="0"/>
        <v>-1.56495769807907</v>
      </c>
      <c r="F47">
        <f t="shared" si="1"/>
        <v>0.871233724962588</v>
      </c>
      <c r="G47" t="str">
        <f t="shared" si="2"/>
        <v>-1.56495769807907+0.871233724962588i</v>
      </c>
      <c r="H47" t="str">
        <f t="shared" si="3"/>
        <v>OK</v>
      </c>
    </row>
    <row r="48" spans="4:8" x14ac:dyDescent="0.3">
      <c r="D48" s="3" t="str">
        <v>2.04150378604161-1.13898799261337i</v>
      </c>
      <c r="E48">
        <f t="shared" si="0"/>
        <v>2.0415037860416101</v>
      </c>
      <c r="F48">
        <f t="shared" si="1"/>
        <v>-1.1389879926133699</v>
      </c>
      <c r="G48" t="str">
        <f t="shared" si="2"/>
        <v>2.04150378604161-1.13898799261337i</v>
      </c>
      <c r="H48" t="str">
        <f t="shared" si="3"/>
        <v>OK</v>
      </c>
    </row>
    <row r="49" spans="4:8" x14ac:dyDescent="0.3">
      <c r="D49" s="3" t="str">
        <v>-0.536646404006027+1.0931064726989i</v>
      </c>
      <c r="E49">
        <f t="shared" si="0"/>
        <v>-0.53664640400602703</v>
      </c>
      <c r="F49">
        <f t="shared" si="1"/>
        <v>1.0931064726988999</v>
      </c>
      <c r="G49" t="str">
        <f t="shared" si="2"/>
        <v>-0.536646404006027+1.0931064726989i</v>
      </c>
      <c r="H49" t="str">
        <f t="shared" si="3"/>
        <v>OK</v>
      </c>
    </row>
    <row r="50" spans="4:8" x14ac:dyDescent="0.3">
      <c r="D50" s="3" t="str">
        <v>-0.606946173065575+1.01141606118781i</v>
      </c>
      <c r="E50">
        <f t="shared" si="0"/>
        <v>-0.60694617306557497</v>
      </c>
      <c r="F50">
        <f t="shared" si="1"/>
        <v>1.01141606118781</v>
      </c>
      <c r="G50" t="str">
        <f t="shared" si="2"/>
        <v>-0.606946173065575+1.01141606118781i</v>
      </c>
      <c r="H50" t="str">
        <f t="shared" si="3"/>
        <v>OK</v>
      </c>
    </row>
    <row r="51" spans="4:8" x14ac:dyDescent="0.3">
      <c r="D51" s="3" t="str">
        <v>0.0174038079986121+0.343133267156729i</v>
      </c>
      <c r="E51">
        <f t="shared" si="0"/>
        <v>1.74038079986121E-2</v>
      </c>
      <c r="F51">
        <f t="shared" si="1"/>
        <v>0.34313326715672898</v>
      </c>
      <c r="G51" t="str">
        <f t="shared" si="2"/>
        <v>0.0174038079986121+0.343133267156729i</v>
      </c>
      <c r="H51" t="str">
        <f t="shared" si="3"/>
        <v>OK</v>
      </c>
    </row>
    <row r="52" spans="4:8" x14ac:dyDescent="0.3">
      <c r="D52" s="3" t="str">
        <v>0.755109810700653+0.896827638170199i</v>
      </c>
      <c r="E52">
        <f t="shared" si="0"/>
        <v>0.75510981070065297</v>
      </c>
      <c r="F52">
        <f t="shared" si="1"/>
        <v>0.89682763817019895</v>
      </c>
      <c r="G52" t="str">
        <f t="shared" si="2"/>
        <v>0.755109810700653+0.896827638170199i</v>
      </c>
      <c r="H52" t="str">
        <f t="shared" si="3"/>
        <v>OK</v>
      </c>
    </row>
    <row r="53" spans="4:8" x14ac:dyDescent="0.3">
      <c r="D53" s="3" t="str">
        <v>2.19966928958898-0.18392976003785i</v>
      </c>
      <c r="E53">
        <f t="shared" si="0"/>
        <v>2.19966928958898</v>
      </c>
      <c r="F53">
        <f t="shared" si="1"/>
        <v>-0.18392976003785</v>
      </c>
      <c r="G53" t="str">
        <f t="shared" si="2"/>
        <v>2.19966928958898-0.18392976003785i</v>
      </c>
      <c r="H53" t="str">
        <f t="shared" si="3"/>
        <v>OK</v>
      </c>
    </row>
    <row r="54" spans="4:8" x14ac:dyDescent="0.3">
      <c r="D54" s="3" t="str">
        <v>-1.36868753249761-0.249602978107702i</v>
      </c>
      <c r="E54">
        <f t="shared" si="0"/>
        <v>-1.36868753249761</v>
      </c>
      <c r="F54">
        <f t="shared" si="1"/>
        <v>-0.24960297810770199</v>
      </c>
      <c r="G54" t="str">
        <f t="shared" si="2"/>
        <v>-1.36868753249761-0.249602978107702i</v>
      </c>
      <c r="H54" t="str">
        <f t="shared" si="3"/>
        <v>OK</v>
      </c>
    </row>
    <row r="55" spans="4:8" x14ac:dyDescent="0.3">
      <c r="D55" s="3" t="str">
        <v>-1.980185490143-0.379604561098807i</v>
      </c>
      <c r="E55">
        <f t="shared" si="0"/>
        <v>-1.980185490143</v>
      </c>
      <c r="F55">
        <f t="shared" si="1"/>
        <v>-0.37960456109880703</v>
      </c>
      <c r="G55" t="str">
        <f t="shared" si="2"/>
        <v>-1.980185490143-0.379604561098807i</v>
      </c>
      <c r="H55" t="str">
        <f t="shared" si="3"/>
        <v>OK</v>
      </c>
    </row>
    <row r="56" spans="4:8" x14ac:dyDescent="0.3">
      <c r="D56" s="3" t="str">
        <v>1.84346933647334-1.66115181338913i</v>
      </c>
      <c r="E56">
        <f t="shared" si="0"/>
        <v>1.8434693364733401</v>
      </c>
      <c r="F56">
        <f t="shared" si="1"/>
        <v>-1.6611518133891301</v>
      </c>
      <c r="G56" t="str">
        <f t="shared" si="2"/>
        <v>1.84346933647334-1.66115181338913i</v>
      </c>
      <c r="H56" t="str">
        <f t="shared" si="3"/>
        <v>OK</v>
      </c>
    </row>
    <row r="57" spans="4:8" x14ac:dyDescent="0.3">
      <c r="D57" s="3" t="str">
        <v>0.562082688910423+1.00122996332087i</v>
      </c>
      <c r="E57">
        <f t="shared" si="0"/>
        <v>0.56208268891042301</v>
      </c>
      <c r="F57">
        <f t="shared" si="1"/>
        <v>1.0012299633208701</v>
      </c>
      <c r="G57" t="str">
        <f t="shared" si="2"/>
        <v>0.562082688910423+1.00122996332087i</v>
      </c>
      <c r="H57" t="str">
        <f t="shared" si="3"/>
        <v>OK</v>
      </c>
    </row>
    <row r="58" spans="4:8" x14ac:dyDescent="0.3">
      <c r="D58" s="3" t="str">
        <v>0.378072024438642-0.399662290390968i</v>
      </c>
      <c r="E58">
        <f t="shared" si="0"/>
        <v>0.37807202443864202</v>
      </c>
      <c r="F58">
        <f t="shared" si="1"/>
        <v>-0.39966229039096801</v>
      </c>
      <c r="G58" t="str">
        <f t="shared" si="2"/>
        <v>0.378072024438642-0.399662290390968i</v>
      </c>
      <c r="H58" t="str">
        <f t="shared" si="3"/>
        <v>OK</v>
      </c>
    </row>
    <row r="59" spans="4:8" x14ac:dyDescent="0.3">
      <c r="D59" s="3" t="str">
        <v>-0.565139333855761-0.389826463776988i</v>
      </c>
      <c r="E59">
        <f t="shared" si="0"/>
        <v>-0.56513933385576098</v>
      </c>
      <c r="F59">
        <f t="shared" si="1"/>
        <v>-0.38982646377698799</v>
      </c>
      <c r="G59" t="str">
        <f t="shared" si="2"/>
        <v>-0.565139333855761-0.389826463776988i</v>
      </c>
      <c r="H59" t="str">
        <f t="shared" si="3"/>
        <v>OK</v>
      </c>
    </row>
    <row r="60" spans="4:8" x14ac:dyDescent="0.3">
      <c r="D60" s="3" t="str">
        <v>-0.061858855909151+0.373029898673202i</v>
      </c>
      <c r="E60">
        <f t="shared" si="0"/>
        <v>-6.1858855909151002E-2</v>
      </c>
      <c r="F60">
        <f t="shared" si="1"/>
        <v>0.37302989867320202</v>
      </c>
      <c r="G60" t="str">
        <f t="shared" si="2"/>
        <v>-0.061858855909151+0.373029898673202i</v>
      </c>
      <c r="H60" t="str">
        <f t="shared" si="3"/>
        <v>OK</v>
      </c>
    </row>
    <row r="61" spans="4:8" x14ac:dyDescent="0.3">
      <c r="D61" s="3" t="str">
        <v>-0.0377606018972269+2.30977877764508i</v>
      </c>
      <c r="E61">
        <f t="shared" si="0"/>
        <v>-3.7760601897226902E-2</v>
      </c>
      <c r="F61">
        <f t="shared" si="1"/>
        <v>2.30977877764508</v>
      </c>
      <c r="G61" t="str">
        <f t="shared" si="2"/>
        <v>-0.0377606018972269+2.30977877764508i</v>
      </c>
      <c r="H61" t="str">
        <f t="shared" si="3"/>
        <v>OK</v>
      </c>
    </row>
    <row r="62" spans="4:8" x14ac:dyDescent="0.3">
      <c r="D62" s="3" t="str">
        <v>0.902000915738111+0.307015940773105i</v>
      </c>
      <c r="E62">
        <f t="shared" si="0"/>
        <v>0.90200091573811103</v>
      </c>
      <c r="F62">
        <f t="shared" si="1"/>
        <v>0.30701594077310501</v>
      </c>
      <c r="G62" t="str">
        <f t="shared" si="2"/>
        <v>0.902000915738111+0.307015940773105i</v>
      </c>
      <c r="H62" t="str">
        <f t="shared" si="3"/>
        <v>OK</v>
      </c>
    </row>
    <row r="63" spans="4:8" x14ac:dyDescent="0.3">
      <c r="D63" s="3" t="str">
        <v>0.0850070859395772-0.209678279945316i</v>
      </c>
      <c r="E63">
        <f t="shared" si="0"/>
        <v>8.5007085939577204E-2</v>
      </c>
      <c r="F63">
        <f t="shared" si="1"/>
        <v>-0.20967827994531599</v>
      </c>
      <c r="G63" t="str">
        <f t="shared" si="2"/>
        <v>0.0850070859395772-0.209678279945316i</v>
      </c>
      <c r="H63" t="str">
        <f t="shared" si="3"/>
        <v>OK</v>
      </c>
    </row>
    <row r="64" spans="4:8" x14ac:dyDescent="0.3">
      <c r="D64" s="3" t="str">
        <v>-1.09909059361063-0.437441864700752i</v>
      </c>
      <c r="E64">
        <f t="shared" si="0"/>
        <v>-1.0990905936106301</v>
      </c>
      <c r="F64">
        <f t="shared" si="1"/>
        <v>-0.43744186470075203</v>
      </c>
      <c r="G64" t="str">
        <f t="shared" si="2"/>
        <v>-1.09909059361063-0.437441864700752i</v>
      </c>
      <c r="H64" t="str">
        <f t="shared" si="3"/>
        <v>OK</v>
      </c>
    </row>
    <row r="65" spans="4:8" x14ac:dyDescent="0.3">
      <c r="D65" s="3" t="str">
        <v>-0.806754583059857-1.17959248287074i</v>
      </c>
      <c r="E65">
        <f t="shared" si="0"/>
        <v>-0.80675458305985703</v>
      </c>
      <c r="F65">
        <f t="shared" si="1"/>
        <v>-1.17959248287074</v>
      </c>
      <c r="G65" t="str">
        <f t="shared" si="2"/>
        <v>-0.806754583059857-1.17959248287074i</v>
      </c>
      <c r="H65" t="str">
        <f t="shared" si="3"/>
        <v>OK</v>
      </c>
    </row>
    <row r="66" spans="4:8" x14ac:dyDescent="0.3">
      <c r="D66" s="3" t="str">
        <v>-0.807887017866844-0.341984893586169i</v>
      </c>
      <c r="E66">
        <f t="shared" si="0"/>
        <v>-0.80788701786684403</v>
      </c>
      <c r="F66">
        <f t="shared" si="1"/>
        <v>-0.34198489358616901</v>
      </c>
      <c r="G66" t="str">
        <f t="shared" si="2"/>
        <v>-0.807887017866844-0.341984893586169i</v>
      </c>
      <c r="H66" t="str">
        <f t="shared" si="3"/>
        <v>OK</v>
      </c>
    </row>
    <row r="67" spans="4:8" x14ac:dyDescent="0.3">
      <c r="D67" s="3" t="str">
        <v>-0.367354616179967-0.936415667980221i</v>
      </c>
      <c r="E67">
        <f t="shared" si="0"/>
        <v>-0.36735461617996701</v>
      </c>
      <c r="F67">
        <f t="shared" si="1"/>
        <v>-0.93641566798022102</v>
      </c>
      <c r="G67" t="str">
        <f t="shared" si="2"/>
        <v>-0.367354616179967-0.936415667980221i</v>
      </c>
      <c r="H67" t="str">
        <f t="shared" si="3"/>
        <v>OK</v>
      </c>
    </row>
    <row r="68" spans="4:8" x14ac:dyDescent="0.3">
      <c r="D68" s="3" t="str">
        <v>0.361956583326583-0.753219885363427i</v>
      </c>
      <c r="E68">
        <f t="shared" ref="E68:E102" si="4">IMREAL(D68)</f>
        <v>0.36195658332658298</v>
      </c>
      <c r="F68">
        <f t="shared" ref="F68:F102" si="5">IMAGINARY(D68)</f>
        <v>-0.75321988536342699</v>
      </c>
      <c r="G68" t="str">
        <f t="shared" ref="G68:G102" si="6">COMPLEX(ROUND(E68, $G$2), ROUND(F68, $G$2))</f>
        <v>0.361956583326583-0.753219885363427i</v>
      </c>
      <c r="H68" t="str">
        <f t="shared" ref="H68:H102" si="7">IF(G68=D68, "OK", "FAIL")</f>
        <v>OK</v>
      </c>
    </row>
    <row r="69" spans="4:8" x14ac:dyDescent="0.3">
      <c r="D69" s="3" t="str">
        <v>-1.72391277448523+0.275333623294372i</v>
      </c>
      <c r="E69">
        <f t="shared" si="4"/>
        <v>-1.7239127744852301</v>
      </c>
      <c r="F69">
        <f t="shared" si="5"/>
        <v>0.275333623294372</v>
      </c>
      <c r="G69" t="str">
        <f t="shared" si="6"/>
        <v>-1.72391277448523+0.275333623294372i</v>
      </c>
      <c r="H69" t="str">
        <f t="shared" si="7"/>
        <v>OK</v>
      </c>
    </row>
    <row r="70" spans="4:8" x14ac:dyDescent="0.3">
      <c r="D70" s="3" t="str">
        <v>0.369417102142978+0.860136800618968i</v>
      </c>
      <c r="E70">
        <f t="shared" si="4"/>
        <v>0.36941710214297802</v>
      </c>
      <c r="F70">
        <f t="shared" si="5"/>
        <v>0.86013680061896802</v>
      </c>
      <c r="G70" t="str">
        <f t="shared" si="6"/>
        <v>0.369417102142978+0.860136800618968i</v>
      </c>
      <c r="H70" t="str">
        <f t="shared" si="7"/>
        <v>OK</v>
      </c>
    </row>
    <row r="71" spans="4:8" x14ac:dyDescent="0.3">
      <c r="D71" s="3" t="str">
        <v>0.563722395410846-0.0318270213899254i</v>
      </c>
      <c r="E71">
        <f t="shared" si="4"/>
        <v>0.56372239541084601</v>
      </c>
      <c r="F71">
        <f t="shared" si="5"/>
        <v>-3.1827021389925401E-2</v>
      </c>
      <c r="G71" t="str">
        <f t="shared" si="6"/>
        <v>0.563722395410846-0.0318270213899254i</v>
      </c>
      <c r="H71" t="str">
        <f t="shared" si="7"/>
        <v>OK</v>
      </c>
    </row>
    <row r="72" spans="4:8" x14ac:dyDescent="0.3">
      <c r="D72" s="3" t="str">
        <v>0.15751211431459+1.35946233138978i</v>
      </c>
      <c r="E72">
        <f t="shared" si="4"/>
        <v>0.15751211431459</v>
      </c>
      <c r="F72">
        <f t="shared" si="5"/>
        <v>1.35946233138978</v>
      </c>
      <c r="G72" t="str">
        <f t="shared" si="6"/>
        <v>0.15751211431459+1.35946233138978i</v>
      </c>
      <c r="H72" t="str">
        <f t="shared" si="7"/>
        <v>OK</v>
      </c>
    </row>
    <row r="73" spans="4:8" x14ac:dyDescent="0.3">
      <c r="D73" s="3" t="str">
        <v>0.178356603654718+1.48323848163915i</v>
      </c>
      <c r="E73">
        <f t="shared" si="4"/>
        <v>0.178356603654718</v>
      </c>
      <c r="F73">
        <f t="shared" si="5"/>
        <v>1.48323848163915</v>
      </c>
      <c r="G73" t="str">
        <f t="shared" si="6"/>
        <v>0.178356603654718+1.48323848163915i</v>
      </c>
      <c r="H73" t="str">
        <f t="shared" si="7"/>
        <v>OK</v>
      </c>
    </row>
    <row r="74" spans="4:8" x14ac:dyDescent="0.3">
      <c r="D74" s="3" t="str">
        <v>-0.37926725501036+1.91749880170607i</v>
      </c>
      <c r="E74">
        <f t="shared" si="4"/>
        <v>-0.37926725501036002</v>
      </c>
      <c r="F74">
        <f t="shared" si="5"/>
        <v>1.9174988017060699</v>
      </c>
      <c r="G74" t="str">
        <f t="shared" si="6"/>
        <v>-0.37926725501036+1.91749880170607i</v>
      </c>
      <c r="H74" t="str">
        <f t="shared" si="7"/>
        <v>OK</v>
      </c>
    </row>
    <row r="75" spans="4:8" x14ac:dyDescent="0.3">
      <c r="D75" s="3" t="str">
        <v>0.499383374637175-0.989782031871395i</v>
      </c>
      <c r="E75">
        <f t="shared" si="4"/>
        <v>0.49938337463717503</v>
      </c>
      <c r="F75">
        <f t="shared" si="5"/>
        <v>-0.98978203187139502</v>
      </c>
      <c r="G75" t="str">
        <f t="shared" si="6"/>
        <v>0.499383374637175-0.989782031871395i</v>
      </c>
      <c r="H75" t="str">
        <f t="shared" si="7"/>
        <v>OK</v>
      </c>
    </row>
    <row r="76" spans="4:8" x14ac:dyDescent="0.3">
      <c r="D76" s="3" t="str">
        <v>0.0347709123411174+0.0348234338344951i</v>
      </c>
      <c r="E76">
        <f t="shared" si="4"/>
        <v>3.4770912341117399E-2</v>
      </c>
      <c r="F76">
        <f t="shared" si="5"/>
        <v>3.4823433834495099E-2</v>
      </c>
      <c r="G76" t="str">
        <f t="shared" si="6"/>
        <v>0.0347709123411174+0.0348234338344951i</v>
      </c>
      <c r="H76" t="str">
        <f t="shared" si="7"/>
        <v>OK</v>
      </c>
    </row>
    <row r="77" spans="4:8" x14ac:dyDescent="0.3">
      <c r="D77" s="3" t="str">
        <v>-0.104371144798576-0.58746849453525i</v>
      </c>
      <c r="E77">
        <f t="shared" si="4"/>
        <v>-0.104371144798576</v>
      </c>
      <c r="F77">
        <f t="shared" si="5"/>
        <v>-0.58746849453524996</v>
      </c>
      <c r="G77" t="str">
        <f t="shared" si="6"/>
        <v>-0.104371144798576-0.58746849453525i</v>
      </c>
      <c r="H77" t="str">
        <f t="shared" si="7"/>
        <v>OK</v>
      </c>
    </row>
    <row r="78" spans="4:8" x14ac:dyDescent="0.3">
      <c r="D78" s="3" t="str">
        <v>-0.66049288735372+1.55733338823431i</v>
      </c>
      <c r="E78">
        <f t="shared" si="4"/>
        <v>-0.66049288735372003</v>
      </c>
      <c r="F78">
        <f t="shared" si="5"/>
        <v>1.5573333882343099</v>
      </c>
      <c r="G78" t="str">
        <f t="shared" si="6"/>
        <v>-0.66049288735372+1.55733338823431i</v>
      </c>
      <c r="H78" t="str">
        <f t="shared" si="7"/>
        <v>OK</v>
      </c>
    </row>
    <row r="79" spans="4:8" x14ac:dyDescent="0.3">
      <c r="D79" s="3" t="str">
        <v>-0.489713705338264-0.00999533866515553i</v>
      </c>
      <c r="E79">
        <f t="shared" si="4"/>
        <v>-0.48971370533826403</v>
      </c>
      <c r="F79">
        <f t="shared" si="5"/>
        <v>-9.9953386651555308E-3</v>
      </c>
      <c r="G79" t="str">
        <f t="shared" si="6"/>
        <v>-0.489713705338264-0.00999533866515553i</v>
      </c>
      <c r="H79" t="str">
        <f t="shared" si="7"/>
        <v>OK</v>
      </c>
    </row>
    <row r="80" spans="4:8" x14ac:dyDescent="0.3">
      <c r="D80" s="3" t="str">
        <v>-0.362815070608996+0.232439713495332i</v>
      </c>
      <c r="E80">
        <f t="shared" si="4"/>
        <v>-0.36281507060899598</v>
      </c>
      <c r="F80">
        <f t="shared" si="5"/>
        <v>0.23243971349533199</v>
      </c>
      <c r="G80" t="str">
        <f t="shared" si="6"/>
        <v>-0.362815070608996+0.232439713495332i</v>
      </c>
      <c r="H80" t="str">
        <f t="shared" si="7"/>
        <v>OK</v>
      </c>
    </row>
    <row r="81" spans="4:8" x14ac:dyDescent="0.3">
      <c r="D81" s="3" t="str">
        <v>-0.933681255640022+0.885546266526287i</v>
      </c>
      <c r="E81">
        <f t="shared" si="4"/>
        <v>-0.93368125564002202</v>
      </c>
      <c r="F81">
        <f t="shared" si="5"/>
        <v>0.88554626652628698</v>
      </c>
      <c r="G81" t="str">
        <f t="shared" si="6"/>
        <v>-0.933681255640022+0.885546266526287i</v>
      </c>
      <c r="H81" t="str">
        <f t="shared" si="7"/>
        <v>OK</v>
      </c>
    </row>
    <row r="82" spans="4:8" x14ac:dyDescent="0.3">
      <c r="D82" s="3" t="str">
        <v>-0.276225803286021+1.1272881030225i</v>
      </c>
      <c r="E82">
        <f t="shared" si="4"/>
        <v>-0.27622580328602098</v>
      </c>
      <c r="F82">
        <f t="shared" si="5"/>
        <v>1.1272881030224999</v>
      </c>
      <c r="G82" t="str">
        <f t="shared" si="6"/>
        <v>-0.276225803286021+1.1272881030225i</v>
      </c>
      <c r="H82" t="str">
        <f t="shared" si="7"/>
        <v>OK</v>
      </c>
    </row>
    <row r="83" spans="4:8" x14ac:dyDescent="0.3">
      <c r="D83" s="3" t="str">
        <v>-1.32259514091931+0.509225495520957i</v>
      </c>
      <c r="E83">
        <f t="shared" si="4"/>
        <v>-1.32259514091931</v>
      </c>
      <c r="F83">
        <f t="shared" si="5"/>
        <v>0.50922549552095697</v>
      </c>
      <c r="G83" t="str">
        <f t="shared" si="6"/>
        <v>-1.32259514091931+0.509225495520957i</v>
      </c>
      <c r="H83" t="str">
        <f t="shared" si="7"/>
        <v>OK</v>
      </c>
    </row>
    <row r="84" spans="4:8" x14ac:dyDescent="0.3">
      <c r="D84" s="3" t="str">
        <v>0.66286847263945+0.715363637620017i</v>
      </c>
      <c r="E84">
        <f t="shared" si="4"/>
        <v>0.66286847263945003</v>
      </c>
      <c r="F84">
        <f t="shared" si="5"/>
        <v>0.71536363762001698</v>
      </c>
      <c r="G84" t="str">
        <f t="shared" si="6"/>
        <v>0.66286847263945+0.715363637620017i</v>
      </c>
      <c r="H84" t="str">
        <f t="shared" si="7"/>
        <v>OK</v>
      </c>
    </row>
    <row r="85" spans="4:8" x14ac:dyDescent="0.3">
      <c r="D85" s="3" t="str">
        <v>-1.75881995282656+1.20145721138734i</v>
      </c>
      <c r="E85">
        <f t="shared" si="4"/>
        <v>-1.75881995282656</v>
      </c>
      <c r="F85">
        <f t="shared" si="5"/>
        <v>1.2014572113873401</v>
      </c>
      <c r="G85" t="str">
        <f t="shared" si="6"/>
        <v>-1.75881995282656+1.20145721138734i</v>
      </c>
      <c r="H85" t="str">
        <f t="shared" si="7"/>
        <v>OK</v>
      </c>
    </row>
    <row r="86" spans="4:8" x14ac:dyDescent="0.3">
      <c r="D86" s="3" t="str">
        <v>0.706188208032826-1.44268707129901i</v>
      </c>
      <c r="E86">
        <f t="shared" si="4"/>
        <v>0.706188208032826</v>
      </c>
      <c r="F86">
        <f t="shared" si="5"/>
        <v>-1.4426870712990101</v>
      </c>
      <c r="G86" t="str">
        <f t="shared" si="6"/>
        <v>0.706188208032826-1.44268707129901i</v>
      </c>
      <c r="H86" t="str">
        <f t="shared" si="7"/>
        <v>OK</v>
      </c>
    </row>
    <row r="87" spans="4:8" x14ac:dyDescent="0.3">
      <c r="D87" s="3" t="str">
        <v>-0.435660157518374+0.711565946919547i</v>
      </c>
      <c r="E87">
        <f t="shared" si="4"/>
        <v>-0.435660157518374</v>
      </c>
      <c r="F87">
        <f t="shared" si="5"/>
        <v>0.711565946919547</v>
      </c>
      <c r="G87" t="str">
        <f t="shared" si="6"/>
        <v>-0.435660157518374+0.711565946919547i</v>
      </c>
      <c r="H87" t="str">
        <f t="shared" si="7"/>
        <v>OK</v>
      </c>
    </row>
    <row r="88" spans="4:8" x14ac:dyDescent="0.3">
      <c r="D88" s="3" t="str">
        <v>-0.4455515154958+0.685437425404727i</v>
      </c>
      <c r="E88">
        <f t="shared" si="4"/>
        <v>-0.44555151549580002</v>
      </c>
      <c r="F88">
        <f t="shared" si="5"/>
        <v>0.68543742540472696</v>
      </c>
      <c r="G88" t="str">
        <f t="shared" si="6"/>
        <v>-0.4455515154958+0.685437425404727i</v>
      </c>
      <c r="H88" t="str">
        <f t="shared" si="7"/>
        <v>OK</v>
      </c>
    </row>
    <row r="89" spans="4:8" x14ac:dyDescent="0.3">
      <c r="D89" s="3" t="str">
        <v>0.37480904019522-0.309992009036549i</v>
      </c>
      <c r="E89">
        <f t="shared" si="4"/>
        <v>0.37480904019521999</v>
      </c>
      <c r="F89">
        <f t="shared" si="5"/>
        <v>-0.309992009036549</v>
      </c>
      <c r="G89" t="str">
        <f t="shared" si="6"/>
        <v>0.37480904019522-0.309992009036549i</v>
      </c>
      <c r="H89" t="str">
        <f t="shared" si="7"/>
        <v>OK</v>
      </c>
    </row>
    <row r="90" spans="4:8" x14ac:dyDescent="0.3">
      <c r="D90" s="3" t="str">
        <v>-1.56923072702817+0.874664086268642i</v>
      </c>
      <c r="E90">
        <f t="shared" si="4"/>
        <v>-1.56923072702817</v>
      </c>
      <c r="F90">
        <f t="shared" si="5"/>
        <v>0.874664086268642</v>
      </c>
      <c r="G90" t="str">
        <f t="shared" si="6"/>
        <v>-1.56923072702817+0.874664086268642i</v>
      </c>
      <c r="H90" t="str">
        <f t="shared" si="7"/>
        <v>OK</v>
      </c>
    </row>
    <row r="91" spans="4:8" x14ac:dyDescent="0.3">
      <c r="D91" s="3" t="str">
        <v>-0.77716536254421+0.450593123614705i</v>
      </c>
      <c r="E91">
        <f t="shared" si="4"/>
        <v>-0.77716536254420998</v>
      </c>
      <c r="F91">
        <f t="shared" si="5"/>
        <v>0.45059312361470499</v>
      </c>
      <c r="G91" t="str">
        <f t="shared" si="6"/>
        <v>-0.77716536254421+0.450593123614705i</v>
      </c>
      <c r="H91" t="str">
        <f t="shared" si="7"/>
        <v>OK</v>
      </c>
    </row>
    <row r="92" spans="4:8" x14ac:dyDescent="0.3">
      <c r="D92" s="3" t="str">
        <v>-0.843555800635632-0.241567658222894i</v>
      </c>
      <c r="E92">
        <f t="shared" si="4"/>
        <v>-0.84355580063563196</v>
      </c>
      <c r="F92">
        <f t="shared" si="5"/>
        <v>-0.241567658222894</v>
      </c>
      <c r="G92" t="str">
        <f t="shared" si="6"/>
        <v>-0.843555800635632-0.241567658222894i</v>
      </c>
      <c r="H92" t="str">
        <f t="shared" si="7"/>
        <v>OK</v>
      </c>
    </row>
    <row r="93" spans="4:8" x14ac:dyDescent="0.3">
      <c r="D93" s="3" t="str">
        <v>-3.60230735361442+1.06209962834421i</v>
      </c>
      <c r="E93">
        <f t="shared" si="4"/>
        <v>-3.6023073536144201</v>
      </c>
      <c r="F93">
        <f t="shared" si="5"/>
        <v>1.0620996283442099</v>
      </c>
      <c r="G93" t="str">
        <f t="shared" si="6"/>
        <v>-3.60230735361442+1.06209962834421i</v>
      </c>
      <c r="H93" t="str">
        <f t="shared" si="7"/>
        <v>OK</v>
      </c>
    </row>
    <row r="94" spans="4:8" x14ac:dyDescent="0.3">
      <c r="D94" s="3" t="str">
        <v>-0.594017920925936-0.450935755473508i</v>
      </c>
      <c r="E94">
        <f t="shared" si="4"/>
        <v>-0.59401792092593597</v>
      </c>
      <c r="F94">
        <f t="shared" si="5"/>
        <v>-0.450935755473508</v>
      </c>
      <c r="G94" t="str">
        <f t="shared" si="6"/>
        <v>-0.594017920925936-0.450935755473508i</v>
      </c>
      <c r="H94" t="str">
        <f t="shared" si="7"/>
        <v>OK</v>
      </c>
    </row>
    <row r="95" spans="4:8" x14ac:dyDescent="0.3">
      <c r="D95" s="3" t="str">
        <v>0.129005718954389-0.390253891119822i</v>
      </c>
      <c r="E95">
        <f t="shared" si="4"/>
        <v>0.129005718954389</v>
      </c>
      <c r="F95">
        <f t="shared" si="5"/>
        <v>-0.39025389111982201</v>
      </c>
      <c r="G95" t="str">
        <f t="shared" si="6"/>
        <v>0.129005718954389-0.390253891119822i</v>
      </c>
      <c r="H95" t="str">
        <f t="shared" si="7"/>
        <v>OK</v>
      </c>
    </row>
    <row r="96" spans="4:8" x14ac:dyDescent="0.3">
      <c r="D96" s="3" t="str">
        <v>-0.547510922978154-0.393815230573597i</v>
      </c>
      <c r="E96">
        <f t="shared" si="4"/>
        <v>-0.54751092297815396</v>
      </c>
      <c r="F96">
        <f t="shared" si="5"/>
        <v>-0.39381523057359702</v>
      </c>
      <c r="G96" t="str">
        <f t="shared" si="6"/>
        <v>-0.547510922978154-0.393815230573597i</v>
      </c>
      <c r="H96" t="str">
        <f t="shared" si="7"/>
        <v>OK</v>
      </c>
    </row>
    <row r="97" spans="4:8" x14ac:dyDescent="0.3">
      <c r="D97" s="3" t="str">
        <v>0.453778565648986+0.384786812571133i</v>
      </c>
      <c r="E97">
        <f t="shared" si="4"/>
        <v>0.453778565648986</v>
      </c>
      <c r="F97">
        <f t="shared" si="5"/>
        <v>0.38478681257113301</v>
      </c>
      <c r="G97" t="str">
        <f t="shared" si="6"/>
        <v>0.453778565648986+0.384786812571133i</v>
      </c>
      <c r="H97" t="str">
        <f t="shared" si="7"/>
        <v>OK</v>
      </c>
    </row>
    <row r="98" spans="4:8" x14ac:dyDescent="0.3">
      <c r="D98" s="3" t="str">
        <v>-0.41656051808689-0.4278506203652i</v>
      </c>
      <c r="E98">
        <f t="shared" si="4"/>
        <v>-0.41656051808688999</v>
      </c>
      <c r="F98">
        <f t="shared" si="5"/>
        <v>-0.4278506203652</v>
      </c>
      <c r="G98" t="str">
        <f t="shared" si="6"/>
        <v>-0.41656051808689-0.4278506203652i</v>
      </c>
      <c r="H98" t="str">
        <f t="shared" si="7"/>
        <v>OK</v>
      </c>
    </row>
    <row r="99" spans="4:8" x14ac:dyDescent="0.3">
      <c r="D99" s="3" t="str">
        <v>-0.603375046483674+1.08032098320429i</v>
      </c>
      <c r="E99">
        <f t="shared" si="4"/>
        <v>-0.60337504648367402</v>
      </c>
      <c r="F99">
        <f t="shared" si="5"/>
        <v>1.0803209832042899</v>
      </c>
      <c r="G99" t="str">
        <f t="shared" si="6"/>
        <v>-0.603375046483674+1.08032098320429i</v>
      </c>
      <c r="H99" t="str">
        <f t="shared" si="7"/>
        <v>OK</v>
      </c>
    </row>
    <row r="100" spans="4:8" x14ac:dyDescent="0.3">
      <c r="D100" s="3" t="str">
        <v>-0.454192557675401-2.39453674815223i</v>
      </c>
      <c r="E100">
        <f t="shared" si="4"/>
        <v>-0.45419255767540101</v>
      </c>
      <c r="F100">
        <f t="shared" si="5"/>
        <v>-2.3945367481522299</v>
      </c>
      <c r="G100" t="str">
        <f t="shared" si="6"/>
        <v>-0.454192557675401-2.39453674815223i</v>
      </c>
      <c r="H100" t="str">
        <f t="shared" si="7"/>
        <v>OK</v>
      </c>
    </row>
    <row r="101" spans="4:8" x14ac:dyDescent="0.3">
      <c r="D101" s="3" t="str">
        <v>0.396953027379582-1.31310501993183i</v>
      </c>
      <c r="E101">
        <f t="shared" si="4"/>
        <v>0.39695302737958199</v>
      </c>
      <c r="F101">
        <f t="shared" si="5"/>
        <v>-1.3131050199318299</v>
      </c>
      <c r="G101" t="str">
        <f t="shared" si="6"/>
        <v>0.396953027379582-1.31310501993183i</v>
      </c>
      <c r="H101" t="str">
        <f t="shared" si="7"/>
        <v>OK</v>
      </c>
    </row>
    <row r="102" spans="4:8" x14ac:dyDescent="0.3">
      <c r="D102" s="3" t="str">
        <v>0.7094466786735+0.154441507015508i</v>
      </c>
      <c r="E102">
        <f t="shared" si="4"/>
        <v>0.70944667867349998</v>
      </c>
      <c r="F102">
        <f t="shared" si="5"/>
        <v>0.15444150701550799</v>
      </c>
      <c r="G102" t="str">
        <f t="shared" si="6"/>
        <v>0.7094466786735+0.154441507015508i</v>
      </c>
      <c r="H102" t="str">
        <f t="shared" si="7"/>
        <v>OK</v>
      </c>
    </row>
  </sheetData>
  <conditionalFormatting sqref="H3:H102">
    <cfRule type="cellIs" dxfId="0" priority="1" operator="equal">
      <formula>"OK"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853D-8B19-45A1-881D-63B08A1A3D48}">
  <dimension ref="B2:E22"/>
  <sheetViews>
    <sheetView workbookViewId="0">
      <selection activeCell="A23" sqref="A23"/>
    </sheetView>
  </sheetViews>
  <sheetFormatPr defaultRowHeight="14.4" x14ac:dyDescent="0.3"/>
  <cols>
    <col min="2" max="2" width="31.6640625" bestFit="1" customWidth="1"/>
  </cols>
  <sheetData>
    <row r="2" spans="2:5" x14ac:dyDescent="0.3">
      <c r="B2" t="s">
        <v>212</v>
      </c>
      <c r="D2" t="str" cm="1">
        <f t="array" ref="D2">_xll.RScript.Evaluate(B2)</f>
        <v>mult</v>
      </c>
      <c r="E2" t="str" cm="1">
        <f t="array" ref="E2:E5">_xll.RScript.Evaluate(D2)</f>
        <v xml:space="preserve">function (a, b) </v>
      </c>
    </row>
    <row r="3" spans="2:5" x14ac:dyDescent="0.3">
      <c r="E3" t="str">
        <v>{</v>
      </c>
    </row>
    <row r="4" spans="2:5" x14ac:dyDescent="0.3">
      <c r="E4" t="str">
        <v xml:space="preserve">    return(a * b)</v>
      </c>
    </row>
    <row r="5" spans="2:5" x14ac:dyDescent="0.3">
      <c r="E5" t="str">
        <v>}</v>
      </c>
    </row>
    <row r="7" spans="2:5" x14ac:dyDescent="0.3">
      <c r="B7" t="s">
        <v>213</v>
      </c>
      <c r="D7" cm="1">
        <f t="array" ref="D7:D16">_xll.RScript.Evaluate(B7)</f>
        <v>1</v>
      </c>
    </row>
    <row r="8" spans="2:5" x14ac:dyDescent="0.3">
      <c r="D8">
        <v>4</v>
      </c>
    </row>
    <row r="9" spans="2:5" x14ac:dyDescent="0.3">
      <c r="D9">
        <v>9</v>
      </c>
    </row>
    <row r="10" spans="2:5" x14ac:dyDescent="0.3">
      <c r="D10">
        <v>16</v>
      </c>
    </row>
    <row r="11" spans="2:5" x14ac:dyDescent="0.3">
      <c r="D11">
        <v>25</v>
      </c>
    </row>
    <row r="12" spans="2:5" x14ac:dyDescent="0.3">
      <c r="D12">
        <v>36</v>
      </c>
    </row>
    <row r="13" spans="2:5" x14ac:dyDescent="0.3">
      <c r="D13">
        <v>49</v>
      </c>
    </row>
    <row r="14" spans="2:5" x14ac:dyDescent="0.3">
      <c r="D14">
        <v>64</v>
      </c>
    </row>
    <row r="15" spans="2:5" x14ac:dyDescent="0.3">
      <c r="D15">
        <v>81</v>
      </c>
    </row>
    <row r="16" spans="2:5" x14ac:dyDescent="0.3">
      <c r="D16">
        <v>100</v>
      </c>
    </row>
    <row r="19" spans="2:5" x14ac:dyDescent="0.3">
      <c r="B19" t="s">
        <v>214</v>
      </c>
      <c r="D19" t="str" cm="1">
        <f t="array" ref="D19">_xll.RScript.Evaluate(B19)</f>
        <v>fn</v>
      </c>
      <c r="E19" t="str" cm="1">
        <f t="array" ref="E19:E22">_xll.RScript.Evaluate(D19)</f>
        <v xml:space="preserve">function (a, b) </v>
      </c>
    </row>
    <row r="20" spans="2:5" x14ac:dyDescent="0.3">
      <c r="E20" t="str">
        <v>{</v>
      </c>
    </row>
    <row r="21" spans="2:5" x14ac:dyDescent="0.3">
      <c r="E21" t="str">
        <v xml:space="preserve">    return(a * b)</v>
      </c>
    </row>
    <row r="22" spans="2:5" x14ac:dyDescent="0.3">
      <c r="E22" t="str">
        <v>}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499E-218B-401F-86CF-58E0B4776D4C}">
  <dimension ref="B2:E14"/>
  <sheetViews>
    <sheetView workbookViewId="0">
      <selection activeCell="B14" sqref="B14"/>
    </sheetView>
  </sheetViews>
  <sheetFormatPr defaultRowHeight="14.4" x14ac:dyDescent="0.3"/>
  <cols>
    <col min="2" max="2" width="76.109375" customWidth="1"/>
    <col min="4" max="4" width="14.88671875" bestFit="1" customWidth="1"/>
    <col min="5" max="5" width="12.88671875" customWidth="1"/>
    <col min="6" max="6" width="13.6640625" bestFit="1" customWidth="1"/>
  </cols>
  <sheetData>
    <row r="2" spans="2:5" x14ac:dyDescent="0.3">
      <c r="B2" t="s">
        <v>129</v>
      </c>
      <c r="D2" t="str" cm="1">
        <f t="array" ref="D2">_xll.RScript.Evaluate(B2)</f>
        <v>studentBio</v>
      </c>
    </row>
    <row r="3" spans="2:5" x14ac:dyDescent="0.3">
      <c r="B3" t="s">
        <v>130</v>
      </c>
      <c r="D3" t="str" cm="1">
        <f t="array" ref="D3">_xll.RScript.Evaluate(B3)</f>
        <v>class(studentBio)</v>
      </c>
    </row>
    <row r="5" spans="2:5" x14ac:dyDescent="0.3">
      <c r="B5" t="s">
        <v>131</v>
      </c>
      <c r="D5" t="str" cm="1">
        <f t="array" ref="D5:D7">_xll.RScript.Evaluate(B5)</f>
        <v>studentName</v>
      </c>
      <c r="E5" t="str" cm="1">
        <f t="array" ref="E5">_xll.RScript.Evaluate($B$5&amp;"$"&amp;D5)</f>
        <v>Harry Potter</v>
      </c>
    </row>
    <row r="6" spans="2:5" x14ac:dyDescent="0.3">
      <c r="D6" t="str">
        <v>studentAge</v>
      </c>
      <c r="E6" cm="1">
        <f t="array" ref="E6">_xll.RScript.Evaluate($B$5&amp;"$"&amp;D6)</f>
        <v>19</v>
      </c>
    </row>
    <row r="7" spans="2:5" x14ac:dyDescent="0.3">
      <c r="D7" t="str">
        <v>studentContact</v>
      </c>
      <c r="E7" t="str" cm="1">
        <f t="array" ref="E7">_xll.RScript.Evaluate($B$5&amp;"$"&amp;D7)</f>
        <v>London</v>
      </c>
    </row>
    <row r="10" spans="2:5" x14ac:dyDescent="0.3">
      <c r="B10" t="s">
        <v>132</v>
      </c>
      <c r="D10" t="str" cm="1">
        <f t="array" ref="D10">_xll.RScript.Evaluate(B10)</f>
        <v>StudentInfo</v>
      </c>
    </row>
    <row r="12" spans="2:5" ht="43.2" x14ac:dyDescent="0.3">
      <c r="B12" s="2" t="s">
        <v>133</v>
      </c>
      <c r="D12" t="str" cm="1">
        <f t="array" ref="D12">_xll.RScript.Evaluate(B12)</f>
        <v>contact</v>
      </c>
    </row>
    <row r="13" spans="2:5" ht="43.2" x14ac:dyDescent="0.3">
      <c r="B13" s="2" t="s">
        <v>211</v>
      </c>
      <c r="D13" t="str" cm="1">
        <f t="array" ref="D13">_xll.RScript.Evaluate(B13)</f>
        <v>contact.StudentInfo</v>
      </c>
    </row>
    <row r="14" spans="2:5" x14ac:dyDescent="0.3">
      <c r="B14" t="s">
        <v>134</v>
      </c>
      <c r="D14" t="str" cm="1">
        <f t="array" ref="D14:E14">TRANSPOSE(_xll.RScript.Evaluate(B14))</f>
        <v>Your contact is</v>
      </c>
      <c r="E14" t="str">
        <v>London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2853-576C-455A-993A-EB7ABB207D30}">
  <dimension ref="B2:E53"/>
  <sheetViews>
    <sheetView workbookViewId="0">
      <selection activeCell="D50" sqref="D50"/>
    </sheetView>
  </sheetViews>
  <sheetFormatPr defaultRowHeight="14.4" x14ac:dyDescent="0.3"/>
  <cols>
    <col min="2" max="2" width="72.77734375" bestFit="1" customWidth="1"/>
    <col min="4" max="4" width="13.6640625" customWidth="1"/>
    <col min="5" max="5" width="12.5546875" customWidth="1"/>
  </cols>
  <sheetData>
    <row r="2" spans="2:5" x14ac:dyDescent="0.3">
      <c r="B2" t="s">
        <v>135</v>
      </c>
      <c r="D2" t="str" cm="1">
        <f t="array" ref="D2:D4">_xll.RScript.Evaluate(B2)</f>
        <v xml:space="preserve">new("classGeneratorFunction", .Data = function (...) </v>
      </c>
    </row>
    <row r="3" spans="2:5" x14ac:dyDescent="0.3">
      <c r="D3" t="str">
        <v xml:space="preserve">new("employee", ...), className = structure("employee", package = ".GlobalEnv"), </v>
      </c>
    </row>
    <row r="4" spans="2:5" x14ac:dyDescent="0.3">
      <c r="D4" t="str">
        <v xml:space="preserve">    package = ".GlobalEnv")</v>
      </c>
    </row>
    <row r="6" spans="2:5" x14ac:dyDescent="0.3">
      <c r="B6" t="s">
        <v>136</v>
      </c>
      <c r="D6" t="str" cm="1">
        <f t="array" ref="D6">_xll.RScript.Evaluate(B6)</f>
        <v>obj</v>
      </c>
    </row>
    <row r="8" spans="2:5" x14ac:dyDescent="0.3">
      <c r="B8" t="s">
        <v>137</v>
      </c>
      <c r="D8" t="str" cm="1">
        <f t="array" ref="D8:D10">_xll.RScript.Evaluate(B8)</f>
        <v>name</v>
      </c>
      <c r="E8" t="str" cm="1">
        <f t="array" ref="E8">_xll.RScript.Evaluate($B$8&amp;"@"&amp;D8)</f>
        <v>Steven</v>
      </c>
    </row>
    <row r="9" spans="2:5" x14ac:dyDescent="0.3">
      <c r="D9" t="str">
        <v>id</v>
      </c>
      <c r="E9" cm="1">
        <f t="array" ref="E9">_xll.RScript.Evaluate($B$8&amp;"@"&amp;D9)</f>
        <v>1002</v>
      </c>
    </row>
    <row r="10" spans="2:5" x14ac:dyDescent="0.3">
      <c r="D10" t="str">
        <v>contact</v>
      </c>
      <c r="E10" t="str" cm="1">
        <f t="array" ref="E10">_xll.RScript.Evaluate($B$8&amp;"@"&amp;D10)</f>
        <v>West Avenue</v>
      </c>
    </row>
    <row r="14" spans="2:5" x14ac:dyDescent="0.3">
      <c r="B14" t="s">
        <v>138</v>
      </c>
      <c r="D14" t="str" cm="1">
        <f t="array" ref="D14">_xll.RScript.Evaluate(B14)</f>
        <v>Steven</v>
      </c>
    </row>
    <row r="15" spans="2:5" x14ac:dyDescent="0.3">
      <c r="B15" t="s">
        <v>139</v>
      </c>
      <c r="D15" cm="1">
        <f t="array" ref="D15">_xll.RScript.Evaluate(B15)</f>
        <v>1002</v>
      </c>
    </row>
    <row r="16" spans="2:5" x14ac:dyDescent="0.3">
      <c r="B16" t="s">
        <v>140</v>
      </c>
      <c r="D16" t="str" cm="1">
        <f t="array" ref="D16">_xll.RScript.Evaluate(B16)</f>
        <v>West Avenue</v>
      </c>
    </row>
    <row r="18" spans="2:5" x14ac:dyDescent="0.3">
      <c r="B18" t="s">
        <v>141</v>
      </c>
      <c r="D18" t="str" cm="1">
        <f t="array" ref="D18">_xll.RScript.Evaluate(B18)</f>
        <v>obj@contact</v>
      </c>
      <c r="E18" t="str" cm="1">
        <f t="array" ref="E18">_xll.RScript.Evaluate(D18)</f>
        <v>North Avenue</v>
      </c>
    </row>
    <row r="20" spans="2:5" x14ac:dyDescent="0.3">
      <c r="B20" t="s">
        <v>142</v>
      </c>
      <c r="D20" t="str" cm="1">
        <f t="array" ref="D20">_xll.RScript.Evaluate(B20)</f>
        <v>slot(obj,"id")</v>
      </c>
      <c r="E20" cm="1">
        <f t="array" ref="E20">_xll.RScript.Evaluate(D20)</f>
        <v>1004</v>
      </c>
    </row>
    <row r="22" spans="2:5" ht="86.4" x14ac:dyDescent="0.3">
      <c r="B22" s="2" t="s">
        <v>143</v>
      </c>
      <c r="D22" t="str" cm="1">
        <f t="array" ref="D22">_xll.RScript.Evaluate(B22)</f>
        <v>show</v>
      </c>
    </row>
    <row r="24" spans="2:5" x14ac:dyDescent="0.3">
      <c r="B24" t="s">
        <v>137</v>
      </c>
      <c r="D24" t="str" cm="1">
        <f t="array" ref="D24:E26">_xll.RScript.Evaluate(D22&amp;"("&amp;B24&amp;")")</f>
        <v>Name</v>
      </c>
      <c r="E24" t="str">
        <v>Steven</v>
      </c>
    </row>
    <row r="25" spans="2:5" x14ac:dyDescent="0.3">
      <c r="D25" t="str">
        <v>Id</v>
      </c>
      <c r="E25" t="str">
        <v>1004</v>
      </c>
    </row>
    <row r="26" spans="2:5" x14ac:dyDescent="0.3">
      <c r="D26" t="str">
        <v>Contact</v>
      </c>
      <c r="E26" t="str">
        <v>North Avenue</v>
      </c>
    </row>
    <row r="28" spans="2:5" x14ac:dyDescent="0.3">
      <c r="B28" t="s">
        <v>144</v>
      </c>
      <c r="D28" t="str" cm="1">
        <f t="array" ref="D28:D41">_xll.RScript.Evaluate(B28)</f>
        <v xml:space="preserve">new("standardGeneric", .Data = function (object) </v>
      </c>
    </row>
    <row r="29" spans="2:5" x14ac:dyDescent="0.3">
      <c r="D29" t="str">
        <v xml:space="preserve">standardGeneric("show"), generic = structure("show", package = "methods"), </v>
      </c>
    </row>
    <row r="30" spans="2:5" x14ac:dyDescent="0.3">
      <c r="D30" t="str">
        <v xml:space="preserve">    package = "methods", group = list(), valueClass = character(0), </v>
      </c>
    </row>
    <row r="31" spans="2:5" x14ac:dyDescent="0.3">
      <c r="D31" t="str">
        <v xml:space="preserve">    signature = structure("object", simpleOnly = TRUE), default = new("derivedDefaultMethod", </v>
      </c>
    </row>
    <row r="32" spans="2:5" x14ac:dyDescent="0.3">
      <c r="D32" t="str">
        <v xml:space="preserve">        .Data = function (object) </v>
      </c>
    </row>
    <row r="33" spans="2:5" x14ac:dyDescent="0.3">
      <c r="D33" t="str">
        <v xml:space="preserve">        showDefault(object), target = new("signature", .Data = "ANY", </v>
      </c>
    </row>
    <row r="34" spans="2:5" x14ac:dyDescent="0.3">
      <c r="D34" t="str">
        <v xml:space="preserve">            names = "object", package = "methods"), defined = new("signature", </v>
      </c>
    </row>
    <row r="35" spans="2:5" x14ac:dyDescent="0.3">
      <c r="D35" t="str">
        <v xml:space="preserve">            .Data = "ANY", names = "object", package = "methods"), </v>
      </c>
    </row>
    <row r="36" spans="2:5" x14ac:dyDescent="0.3">
      <c r="D36" t="str">
        <v xml:space="preserve">        generic = structure("show", package = "methods")), skeleton = (new("derivedDefaultMethod", </v>
      </c>
    </row>
    <row r="37" spans="2:5" x14ac:dyDescent="0.3">
      <c r="D37" t="str">
        <v xml:space="preserve">        .Data = function (object) </v>
      </c>
    </row>
    <row r="38" spans="2:5" x14ac:dyDescent="0.3">
      <c r="D38" t="str">
        <v xml:space="preserve">        showDefault(object), target = new("signature", .Data = "ANY", </v>
      </c>
    </row>
    <row r="39" spans="2:5" x14ac:dyDescent="0.3">
      <c r="D39" t="str">
        <v xml:space="preserve">            names = "object", package = "methods"), defined = new("signature", </v>
      </c>
    </row>
    <row r="40" spans="2:5" x14ac:dyDescent="0.3">
      <c r="D40" t="str">
        <v xml:space="preserve">            .Data = "ANY", names = "object", package = "methods"), </v>
      </c>
    </row>
    <row r="41" spans="2:5" x14ac:dyDescent="0.3">
      <c r="D41" t="str">
        <v xml:space="preserve">        generic = structure("show", package = "methods")))(object))</v>
      </c>
    </row>
    <row r="43" spans="2:5" ht="57.6" x14ac:dyDescent="0.3">
      <c r="B43" s="2" t="s">
        <v>145</v>
      </c>
      <c r="D43" t="str" cm="1">
        <f t="array" ref="D43">_xll.RScript.Evaluate(B43)</f>
        <v>show_emp2</v>
      </c>
    </row>
    <row r="45" spans="2:5" x14ac:dyDescent="0.3">
      <c r="B45" t="s">
        <v>146</v>
      </c>
      <c r="D45" t="str" cm="1">
        <f t="array" ref="D45:E47">_xll.RScript.Evaluate(B45)</f>
        <v>Name</v>
      </c>
      <c r="E45" t="str">
        <v>Steven</v>
      </c>
    </row>
    <row r="46" spans="2:5" x14ac:dyDescent="0.3">
      <c r="D46" t="str">
        <v>Id</v>
      </c>
      <c r="E46" t="str">
        <v>1004</v>
      </c>
    </row>
    <row r="47" spans="2:5" x14ac:dyDescent="0.3">
      <c r="D47" t="str">
        <v>Contact</v>
      </c>
      <c r="E47" t="str">
        <v>North Avenue</v>
      </c>
    </row>
    <row r="49" spans="2:4" x14ac:dyDescent="0.3">
      <c r="B49" t="s">
        <v>147</v>
      </c>
      <c r="D49" t="str" cm="1">
        <f t="array" ref="D49:D53">_xll.RScript.Evaluate(B49)</f>
        <v xml:space="preserve">function (object) </v>
      </c>
    </row>
    <row r="50" spans="2:4" x14ac:dyDescent="0.3">
      <c r="D50" t="str">
        <v>{</v>
      </c>
    </row>
    <row r="51" spans="2:4" x14ac:dyDescent="0.3">
      <c r="D51" t="str">
        <v xml:space="preserve">    matrix(c("Name", "Id", "Contact", object@name, object@id, </v>
      </c>
    </row>
    <row r="52" spans="2:4" x14ac:dyDescent="0.3">
      <c r="D52" t="str">
        <v xml:space="preserve">        object@contact), nrow = 3)</v>
      </c>
    </row>
    <row r="53" spans="2:4" x14ac:dyDescent="0.3">
      <c r="D53" t="str">
        <v>}</v>
      </c>
    </row>
  </sheetData>
  <hyperlinks>
    <hyperlink ref="B15" r:id="rId1" xr:uid="{1B3460D8-D92E-417E-9442-F36D9F8918FC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1B9E-7F32-4C1B-AD03-048C852061EA}">
  <dimension ref="B2:T327"/>
  <sheetViews>
    <sheetView workbookViewId="0">
      <selection activeCell="B28" sqref="B28"/>
    </sheetView>
  </sheetViews>
  <sheetFormatPr defaultRowHeight="14.4" x14ac:dyDescent="0.3"/>
  <cols>
    <col min="2" max="2" width="56.44140625" bestFit="1" customWidth="1"/>
    <col min="4" max="4" width="12.88671875" customWidth="1"/>
    <col min="5" max="5" width="12.109375" customWidth="1"/>
    <col min="6" max="6" width="9.5546875" customWidth="1"/>
    <col min="7" max="7" width="9.77734375" customWidth="1"/>
    <col min="8" max="8" width="10.5546875" bestFit="1" customWidth="1"/>
    <col min="9" max="9" width="12.88671875" customWidth="1"/>
    <col min="10" max="10" width="10.5546875" bestFit="1" customWidth="1"/>
    <col min="14" max="14" width="15.109375" bestFit="1" customWidth="1"/>
    <col min="15" max="15" width="11.5546875" bestFit="1" customWidth="1"/>
    <col min="16" max="16" width="20.21875" bestFit="1" customWidth="1"/>
    <col min="19" max="19" width="10.77734375" bestFit="1" customWidth="1"/>
  </cols>
  <sheetData>
    <row r="2" spans="2:10" x14ac:dyDescent="0.3">
      <c r="B2" t="s">
        <v>215</v>
      </c>
    </row>
    <row r="3" spans="2:10" x14ac:dyDescent="0.3">
      <c r="B3" t="s">
        <v>216</v>
      </c>
      <c r="D3" t="str" cm="1">
        <f t="array" ref="D3">_xll.RScript.Evaluate(B3)</f>
        <v>id</v>
      </c>
      <c r="I3" s="8"/>
    </row>
    <row r="4" spans="2:10" x14ac:dyDescent="0.3">
      <c r="B4" t="s">
        <v>217</v>
      </c>
      <c r="D4" t="str" cm="1">
        <f t="array" ref="D4">_xll.RScript.Evaluate(B4)</f>
        <v>name</v>
      </c>
    </row>
    <row r="5" spans="2:10" x14ac:dyDescent="0.3">
      <c r="B5" t="s">
        <v>218</v>
      </c>
      <c r="D5" t="str" cm="1">
        <f t="array" ref="D5">_xll.RScript.Evaluate(B5)</f>
        <v>dob</v>
      </c>
      <c r="E5" t="str" cm="1">
        <f t="array" ref="E5:E8">_xll.RScript.Evaluate(D5)</f>
        <v>1990-10-02</v>
      </c>
      <c r="H5" s="8"/>
    </row>
    <row r="6" spans="2:10" x14ac:dyDescent="0.3">
      <c r="E6" t="str">
        <v>1981-03-24</v>
      </c>
    </row>
    <row r="7" spans="2:10" x14ac:dyDescent="0.3">
      <c r="E7" t="str">
        <v>1987-06-14</v>
      </c>
    </row>
    <row r="8" spans="2:10" x14ac:dyDescent="0.3">
      <c r="E8" t="str">
        <v>1985-08-16</v>
      </c>
    </row>
    <row r="9" spans="2:10" x14ac:dyDescent="0.3">
      <c r="B9" t="s">
        <v>219</v>
      </c>
    </row>
    <row r="10" spans="2:10" x14ac:dyDescent="0.3">
      <c r="B10" t="s">
        <v>220</v>
      </c>
      <c r="D10" t="str" cm="1">
        <f t="array" ref="D10">_xll.RScript.Evaluate(B10)</f>
        <v>df</v>
      </c>
      <c r="E10" t="str" cm="1">
        <f t="array" ref="E10:H14">_xll.RScript.Evaluate(D10)</f>
        <v>Index</v>
      </c>
      <c r="F10" t="str">
        <v>id</v>
      </c>
      <c r="G10" t="str">
        <v>name</v>
      </c>
      <c r="H10" t="str">
        <v>dob</v>
      </c>
    </row>
    <row r="11" spans="2:10" x14ac:dyDescent="0.3">
      <c r="E11" t="str">
        <v>1</v>
      </c>
      <c r="F11">
        <v>10</v>
      </c>
      <c r="G11" t="str">
        <v>sai</v>
      </c>
      <c r="H11">
        <v>7579</v>
      </c>
    </row>
    <row r="12" spans="2:10" x14ac:dyDescent="0.3">
      <c r="B12" t="s">
        <v>221</v>
      </c>
      <c r="E12" t="str">
        <v>2</v>
      </c>
      <c r="F12">
        <v>11</v>
      </c>
      <c r="G12" t="str">
        <v>ram</v>
      </c>
      <c r="H12">
        <v>4100</v>
      </c>
      <c r="J12" s="7"/>
    </row>
    <row r="13" spans="2:10" x14ac:dyDescent="0.3">
      <c r="B13" t="s">
        <v>222</v>
      </c>
      <c r="E13" t="str">
        <v>3</v>
      </c>
      <c r="F13">
        <v>12</v>
      </c>
      <c r="G13" t="str">
        <v>deepika</v>
      </c>
      <c r="H13">
        <v>6373</v>
      </c>
      <c r="J13" s="7"/>
    </row>
    <row r="14" spans="2:10" x14ac:dyDescent="0.3">
      <c r="E14" t="str">
        <v>4</v>
      </c>
      <c r="F14">
        <v>13</v>
      </c>
      <c r="G14" t="str">
        <v>sahithi</v>
      </c>
      <c r="H14">
        <v>5706</v>
      </c>
      <c r="J14" s="7"/>
    </row>
    <row r="15" spans="2:10" x14ac:dyDescent="0.3">
      <c r="J15" s="7"/>
    </row>
    <row r="17" spans="2:20" x14ac:dyDescent="0.3">
      <c r="B17" t="s">
        <v>223</v>
      </c>
      <c r="D17" t="str" cm="1">
        <f t="array" ref="D17:D19">_xll.RScript.Evaluate(B17)</f>
        <v>numeric</v>
      </c>
    </row>
    <row r="18" spans="2:20" x14ac:dyDescent="0.3">
      <c r="D18" t="str">
        <v>character</v>
      </c>
    </row>
    <row r="19" spans="2:20" x14ac:dyDescent="0.3">
      <c r="D19" t="str">
        <v>Date</v>
      </c>
    </row>
    <row r="21" spans="2:20" x14ac:dyDescent="0.3">
      <c r="B21" t="s">
        <v>224</v>
      </c>
      <c r="D21" t="str" cm="1">
        <f t="array" ref="D21:D23">_xll.RScript.Evaluate(B21)</f>
        <v>double</v>
      </c>
    </row>
    <row r="22" spans="2:20" x14ac:dyDescent="0.3">
      <c r="D22" t="str">
        <v>character</v>
      </c>
    </row>
    <row r="23" spans="2:20" x14ac:dyDescent="0.3">
      <c r="D23" t="str">
        <v>double</v>
      </c>
    </row>
    <row r="25" spans="2:20" x14ac:dyDescent="0.3">
      <c r="D25" t="s">
        <v>275</v>
      </c>
      <c r="E25" t="s">
        <v>275</v>
      </c>
      <c r="F25" t="s">
        <v>275</v>
      </c>
      <c r="G25" t="s">
        <v>276</v>
      </c>
      <c r="H25" t="s">
        <v>276</v>
      </c>
      <c r="I25" t="s">
        <v>277</v>
      </c>
      <c r="J25" t="s">
        <v>277</v>
      </c>
    </row>
    <row r="27" spans="2:20" x14ac:dyDescent="0.3">
      <c r="B27" t="str" cm="1">
        <f t="array" ref="B27">_xll.RScript.CreateDataFrame("sales", TableSalesData[], TableSalesData[#Headers])</f>
        <v>sales</v>
      </c>
      <c r="D27" t="s">
        <v>225</v>
      </c>
      <c r="E27" t="s">
        <v>226</v>
      </c>
      <c r="F27" t="s">
        <v>227</v>
      </c>
      <c r="G27" t="s">
        <v>228</v>
      </c>
      <c r="H27" t="s">
        <v>229</v>
      </c>
      <c r="I27" t="s">
        <v>230</v>
      </c>
      <c r="J27" t="s">
        <v>231</v>
      </c>
      <c r="M27" t="str" cm="1">
        <f t="array" ref="M27:T327">_xll.RScript.Evaluate(B27)</f>
        <v>Index</v>
      </c>
      <c r="N27" t="str">
        <v>SalesPerson</v>
      </c>
      <c r="O27" t="str">
        <v>Geography</v>
      </c>
      <c r="P27" t="str">
        <v>Product</v>
      </c>
      <c r="Q27" t="str">
        <v>Amount</v>
      </c>
      <c r="R27" t="str">
        <v>Units</v>
      </c>
      <c r="S27" t="str">
        <v>CostPerUnit</v>
      </c>
      <c r="T27" t="str">
        <v>Cost</v>
      </c>
    </row>
    <row r="28" spans="2:20" x14ac:dyDescent="0.3">
      <c r="D28" t="s">
        <v>232</v>
      </c>
      <c r="E28" t="s">
        <v>233</v>
      </c>
      <c r="F28" t="s">
        <v>234</v>
      </c>
      <c r="G28">
        <v>1624</v>
      </c>
      <c r="H28">
        <v>114</v>
      </c>
      <c r="I28">
        <v>14.49</v>
      </c>
      <c r="J28">
        <v>1651.86</v>
      </c>
      <c r="M28" t="str">
        <v>1</v>
      </c>
      <c r="N28" t="str">
        <v>Ram Mahesh</v>
      </c>
      <c r="O28" t="str">
        <v>New Zealand</v>
      </c>
      <c r="P28" t="str">
        <v>70% Dark Bites</v>
      </c>
      <c r="Q28">
        <v>1624</v>
      </c>
      <c r="R28">
        <v>114</v>
      </c>
      <c r="S28">
        <v>14.49</v>
      </c>
      <c r="T28">
        <v>1651.86</v>
      </c>
    </row>
    <row r="29" spans="2:20" x14ac:dyDescent="0.3">
      <c r="D29" t="s">
        <v>235</v>
      </c>
      <c r="E29" t="s">
        <v>236</v>
      </c>
      <c r="F29" t="s">
        <v>237</v>
      </c>
      <c r="G29">
        <v>6706</v>
      </c>
      <c r="H29">
        <v>459</v>
      </c>
      <c r="I29">
        <v>8.65</v>
      </c>
      <c r="J29">
        <v>3970.35</v>
      </c>
      <c r="M29" t="str">
        <v>2</v>
      </c>
      <c r="N29" t="str">
        <v>Brien Boise</v>
      </c>
      <c r="O29" t="str">
        <v>USA</v>
      </c>
      <c r="P29" t="str">
        <v>Choco Coated Almonds</v>
      </c>
      <c r="Q29">
        <v>6706</v>
      </c>
      <c r="R29">
        <v>459</v>
      </c>
      <c r="S29">
        <v>8.65</v>
      </c>
      <c r="T29">
        <v>3970.35</v>
      </c>
    </row>
    <row r="30" spans="2:20" x14ac:dyDescent="0.3">
      <c r="D30" t="s">
        <v>238</v>
      </c>
      <c r="E30" t="s">
        <v>236</v>
      </c>
      <c r="F30" t="s">
        <v>239</v>
      </c>
      <c r="G30">
        <v>959</v>
      </c>
      <c r="H30">
        <v>147</v>
      </c>
      <c r="I30">
        <v>11.88</v>
      </c>
      <c r="J30">
        <v>1746.36</v>
      </c>
      <c r="M30" t="str">
        <v>3</v>
      </c>
      <c r="N30" t="str">
        <v>Husein Augar</v>
      </c>
      <c r="O30" t="str">
        <v>USA</v>
      </c>
      <c r="P30" t="str">
        <v>Almond Choco</v>
      </c>
      <c r="Q30">
        <v>959</v>
      </c>
      <c r="R30">
        <v>147</v>
      </c>
      <c r="S30">
        <v>11.88</v>
      </c>
      <c r="T30">
        <v>1746.36</v>
      </c>
    </row>
    <row r="31" spans="2:20" x14ac:dyDescent="0.3">
      <c r="D31" t="s">
        <v>240</v>
      </c>
      <c r="E31" t="s">
        <v>241</v>
      </c>
      <c r="F31" t="s">
        <v>242</v>
      </c>
      <c r="G31">
        <v>9632</v>
      </c>
      <c r="H31">
        <v>288</v>
      </c>
      <c r="I31">
        <v>6.47</v>
      </c>
      <c r="J31">
        <v>1863.36</v>
      </c>
      <c r="M31" t="str">
        <v>4</v>
      </c>
      <c r="N31" t="str">
        <v>Carla Molina</v>
      </c>
      <c r="O31" t="str">
        <v>Canada</v>
      </c>
      <c r="P31" t="str">
        <v>Drinking Coco</v>
      </c>
      <c r="Q31">
        <v>9632</v>
      </c>
      <c r="R31">
        <v>288</v>
      </c>
      <c r="S31">
        <v>6.47</v>
      </c>
      <c r="T31">
        <v>1863.36</v>
      </c>
    </row>
    <row r="32" spans="2:20" x14ac:dyDescent="0.3">
      <c r="D32" t="s">
        <v>243</v>
      </c>
      <c r="E32" t="s">
        <v>244</v>
      </c>
      <c r="F32" t="s">
        <v>245</v>
      </c>
      <c r="G32">
        <v>2100</v>
      </c>
      <c r="H32">
        <v>414</v>
      </c>
      <c r="I32">
        <v>13.15</v>
      </c>
      <c r="J32">
        <v>5444.1</v>
      </c>
      <c r="M32" t="str">
        <v>5</v>
      </c>
      <c r="N32" t="str">
        <v>Curtice Advani</v>
      </c>
      <c r="O32" t="str">
        <v>UK</v>
      </c>
      <c r="P32" t="str">
        <v>White Choc</v>
      </c>
      <c r="Q32">
        <v>2100</v>
      </c>
      <c r="R32">
        <v>414</v>
      </c>
      <c r="S32">
        <v>13.15</v>
      </c>
      <c r="T32">
        <v>5444.1</v>
      </c>
    </row>
    <row r="33" spans="4:20" x14ac:dyDescent="0.3">
      <c r="D33" t="s">
        <v>232</v>
      </c>
      <c r="E33" t="s">
        <v>236</v>
      </c>
      <c r="F33" t="s">
        <v>246</v>
      </c>
      <c r="G33">
        <v>8869</v>
      </c>
      <c r="H33">
        <v>432</v>
      </c>
      <c r="I33">
        <v>12.37</v>
      </c>
      <c r="J33">
        <v>5343.84</v>
      </c>
      <c r="M33" t="str">
        <v>6</v>
      </c>
      <c r="N33" t="str">
        <v>Ram Mahesh</v>
      </c>
      <c r="O33" t="str">
        <v>USA</v>
      </c>
      <c r="P33" t="str">
        <v>Peanut Butter Cubes</v>
      </c>
      <c r="Q33">
        <v>8869</v>
      </c>
      <c r="R33">
        <v>432</v>
      </c>
      <c r="S33">
        <v>12.37</v>
      </c>
      <c r="T33">
        <v>5343.84</v>
      </c>
    </row>
    <row r="34" spans="4:20" x14ac:dyDescent="0.3">
      <c r="D34" t="s">
        <v>243</v>
      </c>
      <c r="E34" t="s">
        <v>247</v>
      </c>
      <c r="F34" t="s">
        <v>248</v>
      </c>
      <c r="G34">
        <v>2681</v>
      </c>
      <c r="H34">
        <v>54</v>
      </c>
      <c r="I34">
        <v>5.79</v>
      </c>
      <c r="J34">
        <v>312.66000000000003</v>
      </c>
      <c r="M34" t="str">
        <v>7</v>
      </c>
      <c r="N34" t="str">
        <v>Curtice Advani</v>
      </c>
      <c r="O34" t="str">
        <v>Australia</v>
      </c>
      <c r="P34" t="str">
        <v>Smooth Sliky Salty</v>
      </c>
      <c r="Q34">
        <v>2681</v>
      </c>
      <c r="R34">
        <v>54</v>
      </c>
      <c r="S34">
        <v>5.79</v>
      </c>
      <c r="T34">
        <v>312.66000000000003</v>
      </c>
    </row>
    <row r="35" spans="4:20" x14ac:dyDescent="0.3">
      <c r="D35" t="s">
        <v>235</v>
      </c>
      <c r="E35" t="s">
        <v>236</v>
      </c>
      <c r="F35" t="s">
        <v>249</v>
      </c>
      <c r="G35">
        <v>5012</v>
      </c>
      <c r="H35">
        <v>210</v>
      </c>
      <c r="I35">
        <v>9.77</v>
      </c>
      <c r="J35">
        <v>2051.6999999999998</v>
      </c>
      <c r="M35" t="str">
        <v>8</v>
      </c>
      <c r="N35" t="str">
        <v>Brien Boise</v>
      </c>
      <c r="O35" t="str">
        <v>USA</v>
      </c>
      <c r="P35" t="str">
        <v>After Nines</v>
      </c>
      <c r="Q35">
        <v>5012</v>
      </c>
      <c r="R35">
        <v>210</v>
      </c>
      <c r="S35">
        <v>9.77</v>
      </c>
      <c r="T35">
        <v>2051.6999999999998</v>
      </c>
    </row>
    <row r="36" spans="4:20" x14ac:dyDescent="0.3">
      <c r="D36" t="s">
        <v>250</v>
      </c>
      <c r="E36" t="s">
        <v>247</v>
      </c>
      <c r="F36" t="s">
        <v>251</v>
      </c>
      <c r="G36">
        <v>1281</v>
      </c>
      <c r="H36">
        <v>75</v>
      </c>
      <c r="I36">
        <v>11.7</v>
      </c>
      <c r="J36">
        <v>877.5</v>
      </c>
      <c r="M36" t="str">
        <v>9</v>
      </c>
      <c r="N36" t="str">
        <v>Ches Bonnell</v>
      </c>
      <c r="O36" t="str">
        <v>Australia</v>
      </c>
      <c r="P36" t="str">
        <v>50% Dark Bites</v>
      </c>
      <c r="Q36">
        <v>1281</v>
      </c>
      <c r="R36">
        <v>75</v>
      </c>
      <c r="S36">
        <v>11.7</v>
      </c>
      <c r="T36">
        <v>877.5</v>
      </c>
    </row>
    <row r="37" spans="4:20" x14ac:dyDescent="0.3">
      <c r="D37" t="s">
        <v>252</v>
      </c>
      <c r="E37" t="s">
        <v>233</v>
      </c>
      <c r="F37" t="s">
        <v>251</v>
      </c>
      <c r="G37">
        <v>4991</v>
      </c>
      <c r="H37">
        <v>12</v>
      </c>
      <c r="I37">
        <v>11.7</v>
      </c>
      <c r="J37">
        <v>140.4</v>
      </c>
      <c r="M37" t="str">
        <v>10</v>
      </c>
      <c r="N37" t="str">
        <v>Gigi Bohling</v>
      </c>
      <c r="O37" t="str">
        <v>New Zealand</v>
      </c>
      <c r="P37" t="str">
        <v>50% Dark Bites</v>
      </c>
      <c r="Q37">
        <v>4991</v>
      </c>
      <c r="R37">
        <v>12</v>
      </c>
      <c r="S37">
        <v>11.7</v>
      </c>
      <c r="T37">
        <v>140.4</v>
      </c>
    </row>
    <row r="38" spans="4:20" x14ac:dyDescent="0.3">
      <c r="D38" t="s">
        <v>253</v>
      </c>
      <c r="E38" t="s">
        <v>244</v>
      </c>
      <c r="F38" t="s">
        <v>245</v>
      </c>
      <c r="G38">
        <v>1785</v>
      </c>
      <c r="H38">
        <v>462</v>
      </c>
      <c r="I38">
        <v>13.15</v>
      </c>
      <c r="J38">
        <v>6075.3</v>
      </c>
      <c r="M38" t="str">
        <v>11</v>
      </c>
      <c r="N38" t="str">
        <v>Barr Faughny</v>
      </c>
      <c r="O38" t="str">
        <v>UK</v>
      </c>
      <c r="P38" t="str">
        <v>White Choc</v>
      </c>
      <c r="Q38">
        <v>1785</v>
      </c>
      <c r="R38">
        <v>462</v>
      </c>
      <c r="S38">
        <v>13.15</v>
      </c>
      <c r="T38">
        <v>6075.3</v>
      </c>
    </row>
    <row r="39" spans="4:20" x14ac:dyDescent="0.3">
      <c r="D39" t="s">
        <v>254</v>
      </c>
      <c r="E39" t="s">
        <v>233</v>
      </c>
      <c r="F39" t="s">
        <v>255</v>
      </c>
      <c r="G39">
        <v>3983</v>
      </c>
      <c r="H39">
        <v>144</v>
      </c>
      <c r="I39">
        <v>3.11</v>
      </c>
      <c r="J39">
        <v>447.84</v>
      </c>
      <c r="M39" t="str">
        <v>12</v>
      </c>
      <c r="N39" t="str">
        <v>Gunar Cockshoot</v>
      </c>
      <c r="O39" t="str">
        <v>New Zealand</v>
      </c>
      <c r="P39" t="str">
        <v>Eclairs</v>
      </c>
      <c r="Q39">
        <v>3983</v>
      </c>
      <c r="R39">
        <v>144</v>
      </c>
      <c r="S39">
        <v>3.11</v>
      </c>
      <c r="T39">
        <v>447.84</v>
      </c>
    </row>
    <row r="40" spans="4:20" x14ac:dyDescent="0.3">
      <c r="D40" t="s">
        <v>238</v>
      </c>
      <c r="E40" t="s">
        <v>247</v>
      </c>
      <c r="F40" t="s">
        <v>256</v>
      </c>
      <c r="G40">
        <v>2646</v>
      </c>
      <c r="H40">
        <v>120</v>
      </c>
      <c r="I40">
        <v>8.7899999999999991</v>
      </c>
      <c r="J40">
        <v>1054.8</v>
      </c>
      <c r="M40" t="str">
        <v>13</v>
      </c>
      <c r="N40" t="str">
        <v>Husein Augar</v>
      </c>
      <c r="O40" t="str">
        <v>Australia</v>
      </c>
      <c r="P40" t="str">
        <v>Mint Chip Choco</v>
      </c>
      <c r="Q40">
        <v>2646</v>
      </c>
      <c r="R40">
        <v>120</v>
      </c>
      <c r="S40">
        <v>8.7899999999999991</v>
      </c>
      <c r="T40">
        <v>1054.8</v>
      </c>
    </row>
    <row r="41" spans="4:20" x14ac:dyDescent="0.3">
      <c r="D41" t="s">
        <v>253</v>
      </c>
      <c r="E41" t="s">
        <v>257</v>
      </c>
      <c r="F41" t="s">
        <v>258</v>
      </c>
      <c r="G41">
        <v>252</v>
      </c>
      <c r="H41">
        <v>54</v>
      </c>
      <c r="I41">
        <v>9.33</v>
      </c>
      <c r="J41">
        <v>503.82</v>
      </c>
      <c r="M41" t="str">
        <v>14</v>
      </c>
      <c r="N41" t="str">
        <v>Barr Faughny</v>
      </c>
      <c r="O41" t="str">
        <v>India</v>
      </c>
      <c r="P41" t="str">
        <v>Milk Bars</v>
      </c>
      <c r="Q41">
        <v>252</v>
      </c>
      <c r="R41">
        <v>54</v>
      </c>
      <c r="S41">
        <v>9.33</v>
      </c>
      <c r="T41">
        <v>503.82</v>
      </c>
    </row>
    <row r="42" spans="4:20" x14ac:dyDescent="0.3">
      <c r="D42" t="s">
        <v>254</v>
      </c>
      <c r="E42" t="s">
        <v>236</v>
      </c>
      <c r="F42" t="s">
        <v>245</v>
      </c>
      <c r="G42">
        <v>2464</v>
      </c>
      <c r="H42">
        <v>234</v>
      </c>
      <c r="I42">
        <v>13.15</v>
      </c>
      <c r="J42">
        <v>3077.1</v>
      </c>
      <c r="M42" t="str">
        <v>15</v>
      </c>
      <c r="N42" t="str">
        <v>Gunar Cockshoot</v>
      </c>
      <c r="O42" t="str">
        <v>USA</v>
      </c>
      <c r="P42" t="str">
        <v>White Choc</v>
      </c>
      <c r="Q42">
        <v>2464</v>
      </c>
      <c r="R42">
        <v>234</v>
      </c>
      <c r="S42">
        <v>13.15</v>
      </c>
      <c r="T42">
        <v>3077.1</v>
      </c>
    </row>
    <row r="43" spans="4:20" x14ac:dyDescent="0.3">
      <c r="D43" t="s">
        <v>254</v>
      </c>
      <c r="E43" t="s">
        <v>236</v>
      </c>
      <c r="F43" t="s">
        <v>259</v>
      </c>
      <c r="G43">
        <v>2114</v>
      </c>
      <c r="H43">
        <v>66</v>
      </c>
      <c r="I43">
        <v>7.16</v>
      </c>
      <c r="J43">
        <v>472.56</v>
      </c>
      <c r="M43" t="str">
        <v>16</v>
      </c>
      <c r="N43" t="str">
        <v>Gunar Cockshoot</v>
      </c>
      <c r="O43" t="str">
        <v>USA</v>
      </c>
      <c r="P43" t="str">
        <v>Manuka Honey Choco</v>
      </c>
      <c r="Q43">
        <v>2114</v>
      </c>
      <c r="R43">
        <v>66</v>
      </c>
      <c r="S43">
        <v>7.16</v>
      </c>
      <c r="T43">
        <v>472.56</v>
      </c>
    </row>
    <row r="44" spans="4:20" x14ac:dyDescent="0.3">
      <c r="D44" t="s">
        <v>243</v>
      </c>
      <c r="E44" t="s">
        <v>233</v>
      </c>
      <c r="F44" t="s">
        <v>248</v>
      </c>
      <c r="G44">
        <v>7693</v>
      </c>
      <c r="H44">
        <v>87</v>
      </c>
      <c r="I44">
        <v>5.79</v>
      </c>
      <c r="J44">
        <v>503.73</v>
      </c>
      <c r="M44" t="str">
        <v>17</v>
      </c>
      <c r="N44" t="str">
        <v>Curtice Advani</v>
      </c>
      <c r="O44" t="str">
        <v>New Zealand</v>
      </c>
      <c r="P44" t="str">
        <v>Smooth Sliky Salty</v>
      </c>
      <c r="Q44">
        <v>7693</v>
      </c>
      <c r="R44">
        <v>87</v>
      </c>
      <c r="S44">
        <v>5.79</v>
      </c>
      <c r="T44">
        <v>503.73</v>
      </c>
    </row>
    <row r="45" spans="4:20" x14ac:dyDescent="0.3">
      <c r="D45" t="s">
        <v>252</v>
      </c>
      <c r="E45" t="s">
        <v>257</v>
      </c>
      <c r="F45" t="s">
        <v>260</v>
      </c>
      <c r="G45">
        <v>15610</v>
      </c>
      <c r="H45">
        <v>339</v>
      </c>
      <c r="I45">
        <v>10.62</v>
      </c>
      <c r="J45">
        <v>3600.18</v>
      </c>
      <c r="M45" t="str">
        <v>18</v>
      </c>
      <c r="N45" t="str">
        <v>Gigi Bohling</v>
      </c>
      <c r="O45" t="str">
        <v>India</v>
      </c>
      <c r="P45" t="str">
        <v>Orange Choco</v>
      </c>
      <c r="Q45">
        <v>15610</v>
      </c>
      <c r="R45">
        <v>339</v>
      </c>
      <c r="S45">
        <v>10.62</v>
      </c>
      <c r="T45">
        <v>3600.18</v>
      </c>
    </row>
    <row r="46" spans="4:20" x14ac:dyDescent="0.3">
      <c r="D46" t="s">
        <v>240</v>
      </c>
      <c r="E46" t="s">
        <v>257</v>
      </c>
      <c r="F46" t="s">
        <v>249</v>
      </c>
      <c r="G46">
        <v>336</v>
      </c>
      <c r="H46">
        <v>144</v>
      </c>
      <c r="I46">
        <v>9.77</v>
      </c>
      <c r="J46">
        <v>1406.88</v>
      </c>
      <c r="M46" t="str">
        <v>19</v>
      </c>
      <c r="N46" t="str">
        <v>Carla Molina</v>
      </c>
      <c r="O46" t="str">
        <v>India</v>
      </c>
      <c r="P46" t="str">
        <v>After Nines</v>
      </c>
      <c r="Q46">
        <v>336</v>
      </c>
      <c r="R46">
        <v>144</v>
      </c>
      <c r="S46">
        <v>9.77</v>
      </c>
      <c r="T46">
        <v>1406.88</v>
      </c>
    </row>
    <row r="47" spans="4:20" x14ac:dyDescent="0.3">
      <c r="D47" t="s">
        <v>253</v>
      </c>
      <c r="E47" t="s">
        <v>244</v>
      </c>
      <c r="F47" t="s">
        <v>260</v>
      </c>
      <c r="G47">
        <v>9443</v>
      </c>
      <c r="H47">
        <v>162</v>
      </c>
      <c r="I47">
        <v>10.62</v>
      </c>
      <c r="J47">
        <v>1720.44</v>
      </c>
      <c r="M47" t="str">
        <v>20</v>
      </c>
      <c r="N47" t="str">
        <v>Barr Faughny</v>
      </c>
      <c r="O47" t="str">
        <v>UK</v>
      </c>
      <c r="P47" t="str">
        <v>Orange Choco</v>
      </c>
      <c r="Q47">
        <v>9443</v>
      </c>
      <c r="R47">
        <v>162</v>
      </c>
      <c r="S47">
        <v>10.62</v>
      </c>
      <c r="T47">
        <v>1720.44</v>
      </c>
    </row>
    <row r="48" spans="4:20" x14ac:dyDescent="0.3">
      <c r="D48" t="s">
        <v>238</v>
      </c>
      <c r="E48" t="s">
        <v>257</v>
      </c>
      <c r="F48" t="s">
        <v>261</v>
      </c>
      <c r="G48">
        <v>8155</v>
      </c>
      <c r="H48">
        <v>90</v>
      </c>
      <c r="I48">
        <v>6.49</v>
      </c>
      <c r="J48">
        <v>584.1</v>
      </c>
      <c r="M48" t="str">
        <v>21</v>
      </c>
      <c r="N48" t="str">
        <v>Husein Augar</v>
      </c>
      <c r="O48" t="str">
        <v>India</v>
      </c>
      <c r="P48" t="str">
        <v>Fruit &amp; Nut Bars</v>
      </c>
      <c r="Q48">
        <v>8155</v>
      </c>
      <c r="R48">
        <v>90</v>
      </c>
      <c r="S48">
        <v>6.49</v>
      </c>
      <c r="T48">
        <v>584.1</v>
      </c>
    </row>
    <row r="49" spans="4:20" x14ac:dyDescent="0.3">
      <c r="D49" t="s">
        <v>235</v>
      </c>
      <c r="E49" t="s">
        <v>247</v>
      </c>
      <c r="F49" t="s">
        <v>261</v>
      </c>
      <c r="G49">
        <v>1701</v>
      </c>
      <c r="H49">
        <v>234</v>
      </c>
      <c r="I49">
        <v>6.49</v>
      </c>
      <c r="J49">
        <v>1518.66</v>
      </c>
      <c r="M49" t="str">
        <v>22</v>
      </c>
      <c r="N49" t="str">
        <v>Brien Boise</v>
      </c>
      <c r="O49" t="str">
        <v>Australia</v>
      </c>
      <c r="P49" t="str">
        <v>Fruit &amp; Nut Bars</v>
      </c>
      <c r="Q49">
        <v>1701</v>
      </c>
      <c r="R49">
        <v>234</v>
      </c>
      <c r="S49">
        <v>6.49</v>
      </c>
      <c r="T49">
        <v>1518.66</v>
      </c>
    </row>
    <row r="50" spans="4:20" x14ac:dyDescent="0.3">
      <c r="D50" t="s">
        <v>262</v>
      </c>
      <c r="E50" t="s">
        <v>247</v>
      </c>
      <c r="F50" t="s">
        <v>249</v>
      </c>
      <c r="G50">
        <v>2205</v>
      </c>
      <c r="H50">
        <v>141</v>
      </c>
      <c r="I50">
        <v>9.77</v>
      </c>
      <c r="J50">
        <v>1377.57</v>
      </c>
      <c r="M50" t="str">
        <v>23</v>
      </c>
      <c r="N50" t="str">
        <v>Oby Sorrel</v>
      </c>
      <c r="O50" t="str">
        <v>Australia</v>
      </c>
      <c r="P50" t="str">
        <v>After Nines</v>
      </c>
      <c r="Q50">
        <v>2205</v>
      </c>
      <c r="R50">
        <v>141</v>
      </c>
      <c r="S50">
        <v>9.77</v>
      </c>
      <c r="T50">
        <v>1377.57</v>
      </c>
    </row>
    <row r="51" spans="4:20" x14ac:dyDescent="0.3">
      <c r="D51" t="s">
        <v>235</v>
      </c>
      <c r="E51" t="s">
        <v>233</v>
      </c>
      <c r="F51" t="s">
        <v>263</v>
      </c>
      <c r="G51">
        <v>1771</v>
      </c>
      <c r="H51">
        <v>204</v>
      </c>
      <c r="I51">
        <v>7.64</v>
      </c>
      <c r="J51">
        <v>1558.56</v>
      </c>
      <c r="M51" t="str">
        <v>24</v>
      </c>
      <c r="N51" t="str">
        <v>Brien Boise</v>
      </c>
      <c r="O51" t="str">
        <v>New Zealand</v>
      </c>
      <c r="P51" t="str">
        <v>99% Dark &amp; Pure</v>
      </c>
      <c r="Q51">
        <v>1771</v>
      </c>
      <c r="R51">
        <v>204</v>
      </c>
      <c r="S51">
        <v>7.64</v>
      </c>
      <c r="T51">
        <v>1558.56</v>
      </c>
    </row>
    <row r="52" spans="4:20" x14ac:dyDescent="0.3">
      <c r="D52" t="s">
        <v>240</v>
      </c>
      <c r="E52" t="s">
        <v>236</v>
      </c>
      <c r="F52" t="s">
        <v>264</v>
      </c>
      <c r="G52">
        <v>2114</v>
      </c>
      <c r="H52">
        <v>186</v>
      </c>
      <c r="I52">
        <v>11.73</v>
      </c>
      <c r="J52">
        <v>2181.7800000000002</v>
      </c>
      <c r="M52" t="str">
        <v>25</v>
      </c>
      <c r="N52" t="str">
        <v>Carla Molina</v>
      </c>
      <c r="O52" t="str">
        <v>USA</v>
      </c>
      <c r="P52" t="str">
        <v>Raspberry Choco</v>
      </c>
      <c r="Q52">
        <v>2114</v>
      </c>
      <c r="R52">
        <v>186</v>
      </c>
      <c r="S52">
        <v>11.73</v>
      </c>
      <c r="T52">
        <v>2181.7800000000002</v>
      </c>
    </row>
    <row r="53" spans="4:20" x14ac:dyDescent="0.3">
      <c r="D53" t="s">
        <v>240</v>
      </c>
      <c r="E53" t="s">
        <v>241</v>
      </c>
      <c r="F53" t="s">
        <v>258</v>
      </c>
      <c r="G53">
        <v>10311</v>
      </c>
      <c r="H53">
        <v>231</v>
      </c>
      <c r="I53">
        <v>9.33</v>
      </c>
      <c r="J53">
        <v>2155.23</v>
      </c>
      <c r="M53" t="str">
        <v>26</v>
      </c>
      <c r="N53" t="str">
        <v>Carla Molina</v>
      </c>
      <c r="O53" t="str">
        <v>Canada</v>
      </c>
      <c r="P53" t="str">
        <v>Milk Bars</v>
      </c>
      <c r="Q53">
        <v>10311</v>
      </c>
      <c r="R53">
        <v>231</v>
      </c>
      <c r="S53">
        <v>9.33</v>
      </c>
      <c r="T53">
        <v>2155.23</v>
      </c>
    </row>
    <row r="54" spans="4:20" x14ac:dyDescent="0.3">
      <c r="D54" t="s">
        <v>254</v>
      </c>
      <c r="E54" t="s">
        <v>244</v>
      </c>
      <c r="F54" t="s">
        <v>256</v>
      </c>
      <c r="G54">
        <v>21</v>
      </c>
      <c r="H54">
        <v>168</v>
      </c>
      <c r="I54">
        <v>8.7899999999999991</v>
      </c>
      <c r="J54">
        <v>1476.72</v>
      </c>
      <c r="M54" t="str">
        <v>27</v>
      </c>
      <c r="N54" t="str">
        <v>Gunar Cockshoot</v>
      </c>
      <c r="O54" t="str">
        <v>UK</v>
      </c>
      <c r="P54" t="str">
        <v>Mint Chip Choco</v>
      </c>
      <c r="Q54">
        <v>21</v>
      </c>
      <c r="R54">
        <v>168</v>
      </c>
      <c r="S54">
        <v>8.7899999999999991</v>
      </c>
      <c r="T54">
        <v>1476.72</v>
      </c>
    </row>
    <row r="55" spans="4:20" x14ac:dyDescent="0.3">
      <c r="D55" t="s">
        <v>262</v>
      </c>
      <c r="E55" t="s">
        <v>236</v>
      </c>
      <c r="F55" t="s">
        <v>260</v>
      </c>
      <c r="G55">
        <v>1974</v>
      </c>
      <c r="H55">
        <v>195</v>
      </c>
      <c r="I55">
        <v>10.62</v>
      </c>
      <c r="J55">
        <v>2070.9</v>
      </c>
      <c r="M55" t="str">
        <v>28</v>
      </c>
      <c r="N55" t="str">
        <v>Oby Sorrel</v>
      </c>
      <c r="O55" t="str">
        <v>USA</v>
      </c>
      <c r="P55" t="str">
        <v>Orange Choco</v>
      </c>
      <c r="Q55">
        <v>1974</v>
      </c>
      <c r="R55">
        <v>195</v>
      </c>
      <c r="S55">
        <v>10.62</v>
      </c>
      <c r="T55">
        <v>2070.9</v>
      </c>
    </row>
    <row r="56" spans="4:20" x14ac:dyDescent="0.3">
      <c r="D56" t="s">
        <v>252</v>
      </c>
      <c r="E56" t="s">
        <v>241</v>
      </c>
      <c r="F56" t="s">
        <v>261</v>
      </c>
      <c r="G56">
        <v>6314</v>
      </c>
      <c r="H56">
        <v>15</v>
      </c>
      <c r="I56">
        <v>6.49</v>
      </c>
      <c r="J56">
        <v>97.35</v>
      </c>
      <c r="M56" t="str">
        <v>29</v>
      </c>
      <c r="N56" t="str">
        <v>Gigi Bohling</v>
      </c>
      <c r="O56" t="str">
        <v>Canada</v>
      </c>
      <c r="P56" t="str">
        <v>Fruit &amp; Nut Bars</v>
      </c>
      <c r="Q56">
        <v>6314</v>
      </c>
      <c r="R56">
        <v>15</v>
      </c>
      <c r="S56">
        <v>6.49</v>
      </c>
      <c r="T56">
        <v>97.35</v>
      </c>
    </row>
    <row r="57" spans="4:20" x14ac:dyDescent="0.3">
      <c r="D57" t="s">
        <v>262</v>
      </c>
      <c r="E57" t="s">
        <v>233</v>
      </c>
      <c r="F57" t="s">
        <v>261</v>
      </c>
      <c r="G57">
        <v>4683</v>
      </c>
      <c r="H57">
        <v>30</v>
      </c>
      <c r="I57">
        <v>6.49</v>
      </c>
      <c r="J57">
        <v>194.7</v>
      </c>
      <c r="M57" t="str">
        <v>30</v>
      </c>
      <c r="N57" t="str">
        <v>Oby Sorrel</v>
      </c>
      <c r="O57" t="str">
        <v>New Zealand</v>
      </c>
      <c r="P57" t="str">
        <v>Fruit &amp; Nut Bars</v>
      </c>
      <c r="Q57">
        <v>4683</v>
      </c>
      <c r="R57">
        <v>30</v>
      </c>
      <c r="S57">
        <v>6.49</v>
      </c>
      <c r="T57">
        <v>194.7</v>
      </c>
    </row>
    <row r="58" spans="4:20" x14ac:dyDescent="0.3">
      <c r="D58" t="s">
        <v>240</v>
      </c>
      <c r="E58" t="s">
        <v>233</v>
      </c>
      <c r="F58" t="s">
        <v>265</v>
      </c>
      <c r="G58">
        <v>6398</v>
      </c>
      <c r="H58">
        <v>102</v>
      </c>
      <c r="I58">
        <v>4.97</v>
      </c>
      <c r="J58">
        <v>506.94</v>
      </c>
      <c r="M58" t="str">
        <v>31</v>
      </c>
      <c r="N58" t="str">
        <v>Carla Molina</v>
      </c>
      <c r="O58" t="str">
        <v>New Zealand</v>
      </c>
      <c r="P58" t="str">
        <v>85% Dark Bars</v>
      </c>
      <c r="Q58">
        <v>6398</v>
      </c>
      <c r="R58">
        <v>102</v>
      </c>
      <c r="S58">
        <v>4.97</v>
      </c>
      <c r="T58">
        <v>506.94</v>
      </c>
    </row>
    <row r="59" spans="4:20" x14ac:dyDescent="0.3">
      <c r="D59" t="s">
        <v>253</v>
      </c>
      <c r="E59" t="s">
        <v>236</v>
      </c>
      <c r="F59" t="s">
        <v>263</v>
      </c>
      <c r="G59">
        <v>553</v>
      </c>
      <c r="H59">
        <v>15</v>
      </c>
      <c r="I59">
        <v>7.64</v>
      </c>
      <c r="J59">
        <v>114.6</v>
      </c>
      <c r="M59" t="str">
        <v>32</v>
      </c>
      <c r="N59" t="str">
        <v>Barr Faughny</v>
      </c>
      <c r="O59" t="str">
        <v>USA</v>
      </c>
      <c r="P59" t="str">
        <v>99% Dark &amp; Pure</v>
      </c>
      <c r="Q59">
        <v>553</v>
      </c>
      <c r="R59">
        <v>15</v>
      </c>
      <c r="S59">
        <v>7.64</v>
      </c>
      <c r="T59">
        <v>114.6</v>
      </c>
    </row>
    <row r="60" spans="4:20" x14ac:dyDescent="0.3">
      <c r="D60" t="s">
        <v>235</v>
      </c>
      <c r="E60" t="s">
        <v>244</v>
      </c>
      <c r="F60" t="s">
        <v>234</v>
      </c>
      <c r="G60">
        <v>7021</v>
      </c>
      <c r="H60">
        <v>183</v>
      </c>
      <c r="I60">
        <v>14.49</v>
      </c>
      <c r="J60">
        <v>2651.67</v>
      </c>
      <c r="M60" t="str">
        <v>33</v>
      </c>
      <c r="N60" t="str">
        <v>Brien Boise</v>
      </c>
      <c r="O60" t="str">
        <v>UK</v>
      </c>
      <c r="P60" t="str">
        <v>70% Dark Bites</v>
      </c>
      <c r="Q60">
        <v>7021</v>
      </c>
      <c r="R60">
        <v>183</v>
      </c>
      <c r="S60">
        <v>14.49</v>
      </c>
      <c r="T60">
        <v>2651.67</v>
      </c>
    </row>
    <row r="61" spans="4:20" x14ac:dyDescent="0.3">
      <c r="D61" t="s">
        <v>232</v>
      </c>
      <c r="E61" t="s">
        <v>244</v>
      </c>
      <c r="F61" t="s">
        <v>249</v>
      </c>
      <c r="G61">
        <v>5817</v>
      </c>
      <c r="H61">
        <v>12</v>
      </c>
      <c r="I61">
        <v>9.77</v>
      </c>
      <c r="J61">
        <v>117.24</v>
      </c>
      <c r="M61" t="str">
        <v>34</v>
      </c>
      <c r="N61" t="str">
        <v>Ram Mahesh</v>
      </c>
      <c r="O61" t="str">
        <v>UK</v>
      </c>
      <c r="P61" t="str">
        <v>After Nines</v>
      </c>
      <c r="Q61">
        <v>5817</v>
      </c>
      <c r="R61">
        <v>12</v>
      </c>
      <c r="S61">
        <v>9.77</v>
      </c>
      <c r="T61">
        <v>117.24</v>
      </c>
    </row>
    <row r="62" spans="4:20" x14ac:dyDescent="0.3">
      <c r="D62" t="s">
        <v>240</v>
      </c>
      <c r="E62" t="s">
        <v>244</v>
      </c>
      <c r="F62" t="s">
        <v>251</v>
      </c>
      <c r="G62">
        <v>3976</v>
      </c>
      <c r="H62">
        <v>72</v>
      </c>
      <c r="I62">
        <v>11.7</v>
      </c>
      <c r="J62">
        <v>842.4</v>
      </c>
      <c r="M62" t="str">
        <v>35</v>
      </c>
      <c r="N62" t="str">
        <v>Carla Molina</v>
      </c>
      <c r="O62" t="str">
        <v>UK</v>
      </c>
      <c r="P62" t="str">
        <v>50% Dark Bites</v>
      </c>
      <c r="Q62">
        <v>3976</v>
      </c>
      <c r="R62">
        <v>72</v>
      </c>
      <c r="S62">
        <v>11.7</v>
      </c>
      <c r="T62">
        <v>842.4</v>
      </c>
    </row>
    <row r="63" spans="4:20" x14ac:dyDescent="0.3">
      <c r="D63" t="s">
        <v>243</v>
      </c>
      <c r="E63" t="s">
        <v>247</v>
      </c>
      <c r="F63" t="s">
        <v>266</v>
      </c>
      <c r="G63">
        <v>1134</v>
      </c>
      <c r="H63">
        <v>282</v>
      </c>
      <c r="I63">
        <v>16.73</v>
      </c>
      <c r="J63">
        <v>4717.8599999999997</v>
      </c>
      <c r="M63" t="str">
        <v>36</v>
      </c>
      <c r="N63" t="str">
        <v>Curtice Advani</v>
      </c>
      <c r="O63" t="str">
        <v>Australia</v>
      </c>
      <c r="P63" t="str">
        <v>Organic Choco Syrup</v>
      </c>
      <c r="Q63">
        <v>1134</v>
      </c>
      <c r="R63">
        <v>282</v>
      </c>
      <c r="S63">
        <v>16.73</v>
      </c>
      <c r="T63">
        <v>4717.8599999999997</v>
      </c>
    </row>
    <row r="64" spans="4:20" x14ac:dyDescent="0.3">
      <c r="D64" t="s">
        <v>253</v>
      </c>
      <c r="E64" t="s">
        <v>244</v>
      </c>
      <c r="F64" t="s">
        <v>267</v>
      </c>
      <c r="G64">
        <v>6027</v>
      </c>
      <c r="H64">
        <v>144</v>
      </c>
      <c r="I64">
        <v>10.38</v>
      </c>
      <c r="J64">
        <v>1494.72</v>
      </c>
      <c r="M64" t="str">
        <v>37</v>
      </c>
      <c r="N64" t="str">
        <v>Barr Faughny</v>
      </c>
      <c r="O64" t="str">
        <v>UK</v>
      </c>
      <c r="P64" t="str">
        <v>Caramel Stuffed Bars</v>
      </c>
      <c r="Q64">
        <v>6027</v>
      </c>
      <c r="R64">
        <v>144</v>
      </c>
      <c r="S64">
        <v>10.38</v>
      </c>
      <c r="T64">
        <v>1494.72</v>
      </c>
    </row>
    <row r="65" spans="4:20" x14ac:dyDescent="0.3">
      <c r="D65" t="s">
        <v>243</v>
      </c>
      <c r="E65" t="s">
        <v>233</v>
      </c>
      <c r="F65" t="s">
        <v>256</v>
      </c>
      <c r="G65">
        <v>1904</v>
      </c>
      <c r="H65">
        <v>405</v>
      </c>
      <c r="I65">
        <v>8.7899999999999991</v>
      </c>
      <c r="J65">
        <v>3559.95</v>
      </c>
      <c r="M65" t="str">
        <v>38</v>
      </c>
      <c r="N65" t="str">
        <v>Curtice Advani</v>
      </c>
      <c r="O65" t="str">
        <v>New Zealand</v>
      </c>
      <c r="P65" t="str">
        <v>Mint Chip Choco</v>
      </c>
      <c r="Q65">
        <v>1904</v>
      </c>
      <c r="R65">
        <v>405</v>
      </c>
      <c r="S65">
        <v>8.7899999999999991</v>
      </c>
      <c r="T65">
        <v>3559.95</v>
      </c>
    </row>
    <row r="66" spans="4:20" x14ac:dyDescent="0.3">
      <c r="D66" t="s">
        <v>250</v>
      </c>
      <c r="E66" t="s">
        <v>257</v>
      </c>
      <c r="F66" t="s">
        <v>237</v>
      </c>
      <c r="G66">
        <v>3262</v>
      </c>
      <c r="H66">
        <v>75</v>
      </c>
      <c r="I66">
        <v>8.65</v>
      </c>
      <c r="J66">
        <v>648.75</v>
      </c>
      <c r="M66" t="str">
        <v>39</v>
      </c>
      <c r="N66" t="str">
        <v>Ches Bonnell</v>
      </c>
      <c r="O66" t="str">
        <v>India</v>
      </c>
      <c r="P66" t="str">
        <v>Choco Coated Almonds</v>
      </c>
      <c r="Q66">
        <v>3262</v>
      </c>
      <c r="R66">
        <v>75</v>
      </c>
      <c r="S66">
        <v>8.65</v>
      </c>
      <c r="T66">
        <v>648.75</v>
      </c>
    </row>
    <row r="67" spans="4:20" x14ac:dyDescent="0.3">
      <c r="D67" t="s">
        <v>232</v>
      </c>
      <c r="E67" t="s">
        <v>257</v>
      </c>
      <c r="F67" t="s">
        <v>266</v>
      </c>
      <c r="G67">
        <v>2289</v>
      </c>
      <c r="H67">
        <v>135</v>
      </c>
      <c r="I67">
        <v>16.73</v>
      </c>
      <c r="J67">
        <v>2258.5500000000002</v>
      </c>
      <c r="M67" t="str">
        <v>40</v>
      </c>
      <c r="N67" t="str">
        <v>Ram Mahesh</v>
      </c>
      <c r="O67" t="str">
        <v>India</v>
      </c>
      <c r="P67" t="str">
        <v>Organic Choco Syrup</v>
      </c>
      <c r="Q67">
        <v>2289</v>
      </c>
      <c r="R67">
        <v>135</v>
      </c>
      <c r="S67">
        <v>16.73</v>
      </c>
      <c r="T67">
        <v>2258.5500000000002</v>
      </c>
    </row>
    <row r="68" spans="4:20" x14ac:dyDescent="0.3">
      <c r="D68" t="s">
        <v>252</v>
      </c>
      <c r="E68" t="s">
        <v>257</v>
      </c>
      <c r="F68" t="s">
        <v>266</v>
      </c>
      <c r="G68">
        <v>6986</v>
      </c>
      <c r="H68">
        <v>21</v>
      </c>
      <c r="I68">
        <v>16.73</v>
      </c>
      <c r="J68">
        <v>351.33</v>
      </c>
      <c r="M68" t="str">
        <v>41</v>
      </c>
      <c r="N68" t="str">
        <v>Gigi Bohling</v>
      </c>
      <c r="O68" t="str">
        <v>India</v>
      </c>
      <c r="P68" t="str">
        <v>Organic Choco Syrup</v>
      </c>
      <c r="Q68">
        <v>6986</v>
      </c>
      <c r="R68">
        <v>21</v>
      </c>
      <c r="S68">
        <v>16.73</v>
      </c>
      <c r="T68">
        <v>351.33</v>
      </c>
    </row>
    <row r="69" spans="4:20" x14ac:dyDescent="0.3">
      <c r="D69" t="s">
        <v>253</v>
      </c>
      <c r="E69" t="s">
        <v>247</v>
      </c>
      <c r="F69" t="s">
        <v>261</v>
      </c>
      <c r="G69">
        <v>4417</v>
      </c>
      <c r="H69">
        <v>153</v>
      </c>
      <c r="I69">
        <v>6.49</v>
      </c>
      <c r="J69">
        <v>992.97</v>
      </c>
      <c r="M69" t="str">
        <v>42</v>
      </c>
      <c r="N69" t="str">
        <v>Barr Faughny</v>
      </c>
      <c r="O69" t="str">
        <v>Australia</v>
      </c>
      <c r="P69" t="str">
        <v>Fruit &amp; Nut Bars</v>
      </c>
      <c r="Q69">
        <v>4417</v>
      </c>
      <c r="R69">
        <v>153</v>
      </c>
      <c r="S69">
        <v>6.49</v>
      </c>
      <c r="T69">
        <v>992.97</v>
      </c>
    </row>
    <row r="70" spans="4:20" x14ac:dyDescent="0.3">
      <c r="D70" t="s">
        <v>243</v>
      </c>
      <c r="E70" t="s">
        <v>257</v>
      </c>
      <c r="F70" t="s">
        <v>264</v>
      </c>
      <c r="G70">
        <v>1442</v>
      </c>
      <c r="H70">
        <v>15</v>
      </c>
      <c r="I70">
        <v>11.73</v>
      </c>
      <c r="J70">
        <v>175.95</v>
      </c>
      <c r="M70" t="str">
        <v>43</v>
      </c>
      <c r="N70" t="str">
        <v>Curtice Advani</v>
      </c>
      <c r="O70" t="str">
        <v>India</v>
      </c>
      <c r="P70" t="str">
        <v>Raspberry Choco</v>
      </c>
      <c r="Q70">
        <v>1442</v>
      </c>
      <c r="R70">
        <v>15</v>
      </c>
      <c r="S70">
        <v>11.73</v>
      </c>
      <c r="T70">
        <v>175.95</v>
      </c>
    </row>
    <row r="71" spans="4:20" x14ac:dyDescent="0.3">
      <c r="D71" t="s">
        <v>254</v>
      </c>
      <c r="E71" t="s">
        <v>236</v>
      </c>
      <c r="F71" t="s">
        <v>251</v>
      </c>
      <c r="G71">
        <v>2415</v>
      </c>
      <c r="H71">
        <v>255</v>
      </c>
      <c r="I71">
        <v>11.7</v>
      </c>
      <c r="J71">
        <v>2983.5</v>
      </c>
      <c r="M71" t="str">
        <v>44</v>
      </c>
      <c r="N71" t="str">
        <v>Gunar Cockshoot</v>
      </c>
      <c r="O71" t="str">
        <v>USA</v>
      </c>
      <c r="P71" t="str">
        <v>50% Dark Bites</v>
      </c>
      <c r="Q71">
        <v>2415</v>
      </c>
      <c r="R71">
        <v>255</v>
      </c>
      <c r="S71">
        <v>11.7</v>
      </c>
      <c r="T71">
        <v>2983.5</v>
      </c>
    </row>
    <row r="72" spans="4:20" x14ac:dyDescent="0.3">
      <c r="D72" t="s">
        <v>253</v>
      </c>
      <c r="E72" t="s">
        <v>233</v>
      </c>
      <c r="F72" t="s">
        <v>263</v>
      </c>
      <c r="G72">
        <v>238</v>
      </c>
      <c r="H72">
        <v>18</v>
      </c>
      <c r="I72">
        <v>7.64</v>
      </c>
      <c r="J72">
        <v>137.52000000000001</v>
      </c>
      <c r="M72" t="str">
        <v>45</v>
      </c>
      <c r="N72" t="str">
        <v>Barr Faughny</v>
      </c>
      <c r="O72" t="str">
        <v>New Zealand</v>
      </c>
      <c r="P72" t="str">
        <v>99% Dark &amp; Pure</v>
      </c>
      <c r="Q72">
        <v>238</v>
      </c>
      <c r="R72">
        <v>18</v>
      </c>
      <c r="S72">
        <v>7.64</v>
      </c>
      <c r="T72">
        <v>137.52000000000001</v>
      </c>
    </row>
    <row r="73" spans="4:20" x14ac:dyDescent="0.3">
      <c r="D73" t="s">
        <v>243</v>
      </c>
      <c r="E73" t="s">
        <v>233</v>
      </c>
      <c r="F73" t="s">
        <v>261</v>
      </c>
      <c r="G73">
        <v>4949</v>
      </c>
      <c r="H73">
        <v>189</v>
      </c>
      <c r="I73">
        <v>6.49</v>
      </c>
      <c r="J73">
        <v>1226.6099999999999</v>
      </c>
      <c r="M73" t="str">
        <v>46</v>
      </c>
      <c r="N73" t="str">
        <v>Curtice Advani</v>
      </c>
      <c r="O73" t="str">
        <v>New Zealand</v>
      </c>
      <c r="P73" t="str">
        <v>Fruit &amp; Nut Bars</v>
      </c>
      <c r="Q73">
        <v>4949</v>
      </c>
      <c r="R73">
        <v>189</v>
      </c>
      <c r="S73">
        <v>6.49</v>
      </c>
      <c r="T73">
        <v>1226.6099999999999</v>
      </c>
    </row>
    <row r="74" spans="4:20" x14ac:dyDescent="0.3">
      <c r="D74" t="s">
        <v>252</v>
      </c>
      <c r="E74" t="s">
        <v>247</v>
      </c>
      <c r="F74" t="s">
        <v>237</v>
      </c>
      <c r="G74">
        <v>5075</v>
      </c>
      <c r="H74">
        <v>21</v>
      </c>
      <c r="I74">
        <v>8.65</v>
      </c>
      <c r="J74">
        <v>181.65</v>
      </c>
      <c r="M74" t="str">
        <v>47</v>
      </c>
      <c r="N74" t="str">
        <v>Gigi Bohling</v>
      </c>
      <c r="O74" t="str">
        <v>Australia</v>
      </c>
      <c r="P74" t="str">
        <v>Choco Coated Almonds</v>
      </c>
      <c r="Q74">
        <v>5075</v>
      </c>
      <c r="R74">
        <v>21</v>
      </c>
      <c r="S74">
        <v>8.65</v>
      </c>
      <c r="T74">
        <v>181.65</v>
      </c>
    </row>
    <row r="75" spans="4:20" x14ac:dyDescent="0.3">
      <c r="D75" t="s">
        <v>254</v>
      </c>
      <c r="E75" t="s">
        <v>241</v>
      </c>
      <c r="F75" t="s">
        <v>256</v>
      </c>
      <c r="G75">
        <v>9198</v>
      </c>
      <c r="H75">
        <v>36</v>
      </c>
      <c r="I75">
        <v>8.7899999999999991</v>
      </c>
      <c r="J75">
        <v>316.44</v>
      </c>
      <c r="M75" t="str">
        <v>48</v>
      </c>
      <c r="N75" t="str">
        <v>Gunar Cockshoot</v>
      </c>
      <c r="O75" t="str">
        <v>Canada</v>
      </c>
      <c r="P75" t="str">
        <v>Mint Chip Choco</v>
      </c>
      <c r="Q75">
        <v>9198</v>
      </c>
      <c r="R75">
        <v>36</v>
      </c>
      <c r="S75">
        <v>8.7899999999999991</v>
      </c>
      <c r="T75">
        <v>316.44</v>
      </c>
    </row>
    <row r="76" spans="4:20" x14ac:dyDescent="0.3">
      <c r="D76" t="s">
        <v>243</v>
      </c>
      <c r="E76" t="s">
        <v>257</v>
      </c>
      <c r="F76" t="s">
        <v>259</v>
      </c>
      <c r="G76">
        <v>3339</v>
      </c>
      <c r="H76">
        <v>75</v>
      </c>
      <c r="I76">
        <v>7.16</v>
      </c>
      <c r="J76">
        <v>537</v>
      </c>
      <c r="M76" t="str">
        <v>49</v>
      </c>
      <c r="N76" t="str">
        <v>Curtice Advani</v>
      </c>
      <c r="O76" t="str">
        <v>India</v>
      </c>
      <c r="P76" t="str">
        <v>Manuka Honey Choco</v>
      </c>
      <c r="Q76">
        <v>3339</v>
      </c>
      <c r="R76">
        <v>75</v>
      </c>
      <c r="S76">
        <v>7.16</v>
      </c>
      <c r="T76">
        <v>537</v>
      </c>
    </row>
    <row r="77" spans="4:20" x14ac:dyDescent="0.3">
      <c r="D77" t="s">
        <v>232</v>
      </c>
      <c r="E77" t="s">
        <v>257</v>
      </c>
      <c r="F77" t="s">
        <v>255</v>
      </c>
      <c r="G77">
        <v>5019</v>
      </c>
      <c r="H77">
        <v>156</v>
      </c>
      <c r="I77">
        <v>3.11</v>
      </c>
      <c r="J77">
        <v>485.16</v>
      </c>
      <c r="M77" t="str">
        <v>50</v>
      </c>
      <c r="N77" t="str">
        <v>Ram Mahesh</v>
      </c>
      <c r="O77" t="str">
        <v>India</v>
      </c>
      <c r="P77" t="str">
        <v>Eclairs</v>
      </c>
      <c r="Q77">
        <v>5019</v>
      </c>
      <c r="R77">
        <v>156</v>
      </c>
      <c r="S77">
        <v>3.11</v>
      </c>
      <c r="T77">
        <v>485.16</v>
      </c>
    </row>
    <row r="78" spans="4:20" x14ac:dyDescent="0.3">
      <c r="D78" t="s">
        <v>252</v>
      </c>
      <c r="E78" t="s">
        <v>241</v>
      </c>
      <c r="F78" t="s">
        <v>256</v>
      </c>
      <c r="G78">
        <v>16184</v>
      </c>
      <c r="H78">
        <v>39</v>
      </c>
      <c r="I78">
        <v>8.7899999999999991</v>
      </c>
      <c r="J78">
        <v>342.81</v>
      </c>
      <c r="M78" t="str">
        <v>51</v>
      </c>
      <c r="N78" t="str">
        <v>Gigi Bohling</v>
      </c>
      <c r="O78" t="str">
        <v>Canada</v>
      </c>
      <c r="P78" t="str">
        <v>Mint Chip Choco</v>
      </c>
      <c r="Q78">
        <v>16184</v>
      </c>
      <c r="R78">
        <v>39</v>
      </c>
      <c r="S78">
        <v>8.7899999999999991</v>
      </c>
      <c r="T78">
        <v>342.81</v>
      </c>
    </row>
    <row r="79" spans="4:20" x14ac:dyDescent="0.3">
      <c r="D79" t="s">
        <v>243</v>
      </c>
      <c r="E79" t="s">
        <v>241</v>
      </c>
      <c r="F79" t="s">
        <v>268</v>
      </c>
      <c r="G79">
        <v>497</v>
      </c>
      <c r="H79">
        <v>63</v>
      </c>
      <c r="I79">
        <v>9</v>
      </c>
      <c r="J79">
        <v>567</v>
      </c>
      <c r="M79" t="str">
        <v>52</v>
      </c>
      <c r="N79" t="str">
        <v>Curtice Advani</v>
      </c>
      <c r="O79" t="str">
        <v>Canada</v>
      </c>
      <c r="P79" t="str">
        <v>Spicy Special Slims</v>
      </c>
      <c r="Q79">
        <v>497</v>
      </c>
      <c r="R79">
        <v>63</v>
      </c>
      <c r="S79">
        <v>9</v>
      </c>
      <c r="T79">
        <v>567</v>
      </c>
    </row>
    <row r="80" spans="4:20" x14ac:dyDescent="0.3">
      <c r="D80" t="s">
        <v>253</v>
      </c>
      <c r="E80" t="s">
        <v>241</v>
      </c>
      <c r="F80" t="s">
        <v>259</v>
      </c>
      <c r="G80">
        <v>8211</v>
      </c>
      <c r="H80">
        <v>75</v>
      </c>
      <c r="I80">
        <v>7.16</v>
      </c>
      <c r="J80">
        <v>537</v>
      </c>
      <c r="M80" t="str">
        <v>53</v>
      </c>
      <c r="N80" t="str">
        <v>Barr Faughny</v>
      </c>
      <c r="O80" t="str">
        <v>Canada</v>
      </c>
      <c r="P80" t="str">
        <v>Manuka Honey Choco</v>
      </c>
      <c r="Q80">
        <v>8211</v>
      </c>
      <c r="R80">
        <v>75</v>
      </c>
      <c r="S80">
        <v>7.16</v>
      </c>
      <c r="T80">
        <v>537</v>
      </c>
    </row>
    <row r="81" spans="4:20" x14ac:dyDescent="0.3">
      <c r="D81" t="s">
        <v>253</v>
      </c>
      <c r="E81" t="s">
        <v>247</v>
      </c>
      <c r="F81" t="s">
        <v>267</v>
      </c>
      <c r="G81">
        <v>6580</v>
      </c>
      <c r="H81">
        <v>183</v>
      </c>
      <c r="I81">
        <v>10.38</v>
      </c>
      <c r="J81">
        <v>1899.54</v>
      </c>
      <c r="M81" t="str">
        <v>54</v>
      </c>
      <c r="N81" t="str">
        <v>Barr Faughny</v>
      </c>
      <c r="O81" t="str">
        <v>Australia</v>
      </c>
      <c r="P81" t="str">
        <v>Caramel Stuffed Bars</v>
      </c>
      <c r="Q81">
        <v>6580</v>
      </c>
      <c r="R81">
        <v>183</v>
      </c>
      <c r="S81">
        <v>10.38</v>
      </c>
      <c r="T81">
        <v>1899.54</v>
      </c>
    </row>
    <row r="82" spans="4:20" x14ac:dyDescent="0.3">
      <c r="D82" t="s">
        <v>240</v>
      </c>
      <c r="E82" t="s">
        <v>236</v>
      </c>
      <c r="F82" t="s">
        <v>258</v>
      </c>
      <c r="G82">
        <v>4760</v>
      </c>
      <c r="H82">
        <v>69</v>
      </c>
      <c r="I82">
        <v>9.33</v>
      </c>
      <c r="J82">
        <v>643.77</v>
      </c>
      <c r="M82" t="str">
        <v>55</v>
      </c>
      <c r="N82" t="str">
        <v>Carla Molina</v>
      </c>
      <c r="O82" t="str">
        <v>USA</v>
      </c>
      <c r="P82" t="str">
        <v>Milk Bars</v>
      </c>
      <c r="Q82">
        <v>4760</v>
      </c>
      <c r="R82">
        <v>69</v>
      </c>
      <c r="S82">
        <v>9.33</v>
      </c>
      <c r="T82">
        <v>643.77</v>
      </c>
    </row>
    <row r="83" spans="4:20" x14ac:dyDescent="0.3">
      <c r="D83" t="s">
        <v>232</v>
      </c>
      <c r="E83" t="s">
        <v>241</v>
      </c>
      <c r="F83" t="s">
        <v>245</v>
      </c>
      <c r="G83">
        <v>5439</v>
      </c>
      <c r="H83">
        <v>30</v>
      </c>
      <c r="I83">
        <v>13.15</v>
      </c>
      <c r="J83">
        <v>394.5</v>
      </c>
      <c r="M83" t="str">
        <v>56</v>
      </c>
      <c r="N83" t="str">
        <v>Ram Mahesh</v>
      </c>
      <c r="O83" t="str">
        <v>Canada</v>
      </c>
      <c r="P83" t="str">
        <v>White Choc</v>
      </c>
      <c r="Q83">
        <v>5439</v>
      </c>
      <c r="R83">
        <v>30</v>
      </c>
      <c r="S83">
        <v>13.15</v>
      </c>
      <c r="T83">
        <v>394.5</v>
      </c>
    </row>
    <row r="84" spans="4:20" x14ac:dyDescent="0.3">
      <c r="D84" t="s">
        <v>240</v>
      </c>
      <c r="E84" t="s">
        <v>257</v>
      </c>
      <c r="F84" t="s">
        <v>255</v>
      </c>
      <c r="G84">
        <v>1463</v>
      </c>
      <c r="H84">
        <v>39</v>
      </c>
      <c r="I84">
        <v>3.11</v>
      </c>
      <c r="J84">
        <v>121.29</v>
      </c>
      <c r="M84" t="str">
        <v>57</v>
      </c>
      <c r="N84" t="str">
        <v>Carla Molina</v>
      </c>
      <c r="O84" t="str">
        <v>India</v>
      </c>
      <c r="P84" t="str">
        <v>Eclairs</v>
      </c>
      <c r="Q84">
        <v>1463</v>
      </c>
      <c r="R84">
        <v>39</v>
      </c>
      <c r="S84">
        <v>3.11</v>
      </c>
      <c r="T84">
        <v>121.29</v>
      </c>
    </row>
    <row r="85" spans="4:20" x14ac:dyDescent="0.3">
      <c r="D85" t="s">
        <v>254</v>
      </c>
      <c r="E85" t="s">
        <v>257</v>
      </c>
      <c r="F85" t="s">
        <v>237</v>
      </c>
      <c r="G85">
        <v>7777</v>
      </c>
      <c r="H85">
        <v>504</v>
      </c>
      <c r="I85">
        <v>8.65</v>
      </c>
      <c r="J85">
        <v>4359.6000000000004</v>
      </c>
      <c r="M85" t="str">
        <v>58</v>
      </c>
      <c r="N85" t="str">
        <v>Gunar Cockshoot</v>
      </c>
      <c r="O85" t="str">
        <v>India</v>
      </c>
      <c r="P85" t="str">
        <v>Choco Coated Almonds</v>
      </c>
      <c r="Q85">
        <v>7777</v>
      </c>
      <c r="R85">
        <v>504</v>
      </c>
      <c r="S85">
        <v>8.65</v>
      </c>
      <c r="T85">
        <v>4359.6000000000004</v>
      </c>
    </row>
    <row r="86" spans="4:20" x14ac:dyDescent="0.3">
      <c r="D86" t="s">
        <v>238</v>
      </c>
      <c r="E86" t="s">
        <v>233</v>
      </c>
      <c r="F86" t="s">
        <v>259</v>
      </c>
      <c r="G86">
        <v>1085</v>
      </c>
      <c r="H86">
        <v>273</v>
      </c>
      <c r="I86">
        <v>7.16</v>
      </c>
      <c r="J86">
        <v>1954.68</v>
      </c>
      <c r="M86" t="str">
        <v>59</v>
      </c>
      <c r="N86" t="str">
        <v>Husein Augar</v>
      </c>
      <c r="O86" t="str">
        <v>New Zealand</v>
      </c>
      <c r="P86" t="str">
        <v>Manuka Honey Choco</v>
      </c>
      <c r="Q86">
        <v>1085</v>
      </c>
      <c r="R86">
        <v>273</v>
      </c>
      <c r="S86">
        <v>7.16</v>
      </c>
      <c r="T86">
        <v>1954.68</v>
      </c>
    </row>
    <row r="87" spans="4:20" x14ac:dyDescent="0.3">
      <c r="D87" t="s">
        <v>252</v>
      </c>
      <c r="E87" t="s">
        <v>233</v>
      </c>
      <c r="F87" t="s">
        <v>248</v>
      </c>
      <c r="G87">
        <v>182</v>
      </c>
      <c r="H87">
        <v>48</v>
      </c>
      <c r="I87">
        <v>5.79</v>
      </c>
      <c r="J87">
        <v>277.92</v>
      </c>
      <c r="M87" t="str">
        <v>60</v>
      </c>
      <c r="N87" t="str">
        <v>Gigi Bohling</v>
      </c>
      <c r="O87" t="str">
        <v>New Zealand</v>
      </c>
      <c r="P87" t="str">
        <v>Smooth Sliky Salty</v>
      </c>
      <c r="Q87">
        <v>182</v>
      </c>
      <c r="R87">
        <v>48</v>
      </c>
      <c r="S87">
        <v>5.79</v>
      </c>
      <c r="T87">
        <v>277.92</v>
      </c>
    </row>
    <row r="88" spans="4:20" x14ac:dyDescent="0.3">
      <c r="D88" t="s">
        <v>243</v>
      </c>
      <c r="E88" t="s">
        <v>257</v>
      </c>
      <c r="F88" t="s">
        <v>266</v>
      </c>
      <c r="G88">
        <v>4242</v>
      </c>
      <c r="H88">
        <v>207</v>
      </c>
      <c r="I88">
        <v>16.73</v>
      </c>
      <c r="J88">
        <v>3463.11</v>
      </c>
      <c r="M88" t="str">
        <v>61</v>
      </c>
      <c r="N88" t="str">
        <v>Curtice Advani</v>
      </c>
      <c r="O88" t="str">
        <v>India</v>
      </c>
      <c r="P88" t="str">
        <v>Organic Choco Syrup</v>
      </c>
      <c r="Q88">
        <v>4242</v>
      </c>
      <c r="R88">
        <v>207</v>
      </c>
      <c r="S88">
        <v>16.73</v>
      </c>
      <c r="T88">
        <v>3463.11</v>
      </c>
    </row>
    <row r="89" spans="4:20" x14ac:dyDescent="0.3">
      <c r="D89" t="s">
        <v>243</v>
      </c>
      <c r="E89" t="s">
        <v>241</v>
      </c>
      <c r="F89" t="s">
        <v>237</v>
      </c>
      <c r="G89">
        <v>6118</v>
      </c>
      <c r="H89">
        <v>9</v>
      </c>
      <c r="I89">
        <v>8.65</v>
      </c>
      <c r="J89">
        <v>77.849999999999994</v>
      </c>
      <c r="M89" t="str">
        <v>62</v>
      </c>
      <c r="N89" t="str">
        <v>Curtice Advani</v>
      </c>
      <c r="O89" t="str">
        <v>Canada</v>
      </c>
      <c r="P89" t="str">
        <v>Choco Coated Almonds</v>
      </c>
      <c r="Q89">
        <v>6118</v>
      </c>
      <c r="R89">
        <v>9</v>
      </c>
      <c r="S89">
        <v>8.65</v>
      </c>
      <c r="T89">
        <v>77.849999999999994</v>
      </c>
    </row>
    <row r="90" spans="4:20" x14ac:dyDescent="0.3">
      <c r="D90" t="s">
        <v>262</v>
      </c>
      <c r="E90" t="s">
        <v>241</v>
      </c>
      <c r="F90" t="s">
        <v>261</v>
      </c>
      <c r="G90">
        <v>2317</v>
      </c>
      <c r="H90">
        <v>261</v>
      </c>
      <c r="I90">
        <v>6.49</v>
      </c>
      <c r="J90">
        <v>1693.89</v>
      </c>
      <c r="M90" t="str">
        <v>63</v>
      </c>
      <c r="N90" t="str">
        <v>Oby Sorrel</v>
      </c>
      <c r="O90" t="str">
        <v>Canada</v>
      </c>
      <c r="P90" t="str">
        <v>Fruit &amp; Nut Bars</v>
      </c>
      <c r="Q90">
        <v>2317</v>
      </c>
      <c r="R90">
        <v>261</v>
      </c>
      <c r="S90">
        <v>6.49</v>
      </c>
      <c r="T90">
        <v>1693.89</v>
      </c>
    </row>
    <row r="91" spans="4:20" x14ac:dyDescent="0.3">
      <c r="D91" t="s">
        <v>243</v>
      </c>
      <c r="E91" t="s">
        <v>247</v>
      </c>
      <c r="F91" t="s">
        <v>256</v>
      </c>
      <c r="G91">
        <v>938</v>
      </c>
      <c r="H91">
        <v>6</v>
      </c>
      <c r="I91">
        <v>8.7899999999999991</v>
      </c>
      <c r="J91">
        <v>52.74</v>
      </c>
      <c r="M91" t="str">
        <v>64</v>
      </c>
      <c r="N91" t="str">
        <v>Curtice Advani</v>
      </c>
      <c r="O91" t="str">
        <v>Australia</v>
      </c>
      <c r="P91" t="str">
        <v>Mint Chip Choco</v>
      </c>
      <c r="Q91">
        <v>938</v>
      </c>
      <c r="R91">
        <v>6</v>
      </c>
      <c r="S91">
        <v>8.7899999999999991</v>
      </c>
      <c r="T91">
        <v>52.74</v>
      </c>
    </row>
    <row r="92" spans="4:20" x14ac:dyDescent="0.3">
      <c r="D92" t="s">
        <v>235</v>
      </c>
      <c r="E92" t="s">
        <v>233</v>
      </c>
      <c r="F92" t="s">
        <v>264</v>
      </c>
      <c r="G92">
        <v>9709</v>
      </c>
      <c r="H92">
        <v>30</v>
      </c>
      <c r="I92">
        <v>11.73</v>
      </c>
      <c r="J92">
        <v>351.9</v>
      </c>
      <c r="M92" t="str">
        <v>65</v>
      </c>
      <c r="N92" t="str">
        <v>Brien Boise</v>
      </c>
      <c r="O92" t="str">
        <v>New Zealand</v>
      </c>
      <c r="P92" t="str">
        <v>Raspberry Choco</v>
      </c>
      <c r="Q92">
        <v>9709</v>
      </c>
      <c r="R92">
        <v>30</v>
      </c>
      <c r="S92">
        <v>11.73</v>
      </c>
      <c r="T92">
        <v>351.9</v>
      </c>
    </row>
    <row r="93" spans="4:20" x14ac:dyDescent="0.3">
      <c r="D93" t="s">
        <v>250</v>
      </c>
      <c r="E93" t="s">
        <v>257</v>
      </c>
      <c r="F93" t="s">
        <v>260</v>
      </c>
      <c r="G93">
        <v>2205</v>
      </c>
      <c r="H93">
        <v>138</v>
      </c>
      <c r="I93">
        <v>10.62</v>
      </c>
      <c r="J93">
        <v>1465.56</v>
      </c>
      <c r="M93" t="str">
        <v>66</v>
      </c>
      <c r="N93" t="str">
        <v>Ches Bonnell</v>
      </c>
      <c r="O93" t="str">
        <v>India</v>
      </c>
      <c r="P93" t="str">
        <v>Orange Choco</v>
      </c>
      <c r="Q93">
        <v>2205</v>
      </c>
      <c r="R93">
        <v>138</v>
      </c>
      <c r="S93">
        <v>10.62</v>
      </c>
      <c r="T93">
        <v>1465.56</v>
      </c>
    </row>
    <row r="94" spans="4:20" x14ac:dyDescent="0.3">
      <c r="D94" t="s">
        <v>250</v>
      </c>
      <c r="E94" t="s">
        <v>233</v>
      </c>
      <c r="F94" t="s">
        <v>255</v>
      </c>
      <c r="G94">
        <v>4487</v>
      </c>
      <c r="H94">
        <v>111</v>
      </c>
      <c r="I94">
        <v>3.11</v>
      </c>
      <c r="J94">
        <v>345.21</v>
      </c>
      <c r="M94" t="str">
        <v>67</v>
      </c>
      <c r="N94" t="str">
        <v>Ches Bonnell</v>
      </c>
      <c r="O94" t="str">
        <v>New Zealand</v>
      </c>
      <c r="P94" t="str">
        <v>Eclairs</v>
      </c>
      <c r="Q94">
        <v>4487</v>
      </c>
      <c r="R94">
        <v>111</v>
      </c>
      <c r="S94">
        <v>3.11</v>
      </c>
      <c r="T94">
        <v>345.21</v>
      </c>
    </row>
    <row r="95" spans="4:20" x14ac:dyDescent="0.3">
      <c r="D95" t="s">
        <v>252</v>
      </c>
      <c r="E95" t="s">
        <v>236</v>
      </c>
      <c r="F95" t="s">
        <v>242</v>
      </c>
      <c r="G95">
        <v>2415</v>
      </c>
      <c r="H95">
        <v>15</v>
      </c>
      <c r="I95">
        <v>6.47</v>
      </c>
      <c r="J95">
        <v>97.05</v>
      </c>
      <c r="M95" t="str">
        <v>68</v>
      </c>
      <c r="N95" t="str">
        <v>Gigi Bohling</v>
      </c>
      <c r="O95" t="str">
        <v>USA</v>
      </c>
      <c r="P95" t="str">
        <v>Drinking Coco</v>
      </c>
      <c r="Q95">
        <v>2415</v>
      </c>
      <c r="R95">
        <v>15</v>
      </c>
      <c r="S95">
        <v>6.47</v>
      </c>
      <c r="T95">
        <v>97.05</v>
      </c>
    </row>
    <row r="96" spans="4:20" x14ac:dyDescent="0.3">
      <c r="D96" t="s">
        <v>232</v>
      </c>
      <c r="E96" t="s">
        <v>257</v>
      </c>
      <c r="F96" t="s">
        <v>263</v>
      </c>
      <c r="G96">
        <v>4018</v>
      </c>
      <c r="H96">
        <v>162</v>
      </c>
      <c r="I96">
        <v>7.64</v>
      </c>
      <c r="J96">
        <v>1237.68</v>
      </c>
      <c r="M96" t="str">
        <v>69</v>
      </c>
      <c r="N96" t="str">
        <v>Ram Mahesh</v>
      </c>
      <c r="O96" t="str">
        <v>India</v>
      </c>
      <c r="P96" t="str">
        <v>99% Dark &amp; Pure</v>
      </c>
      <c r="Q96">
        <v>4018</v>
      </c>
      <c r="R96">
        <v>162</v>
      </c>
      <c r="S96">
        <v>7.64</v>
      </c>
      <c r="T96">
        <v>1237.68</v>
      </c>
    </row>
    <row r="97" spans="4:20" x14ac:dyDescent="0.3">
      <c r="D97" t="s">
        <v>252</v>
      </c>
      <c r="E97" t="s">
        <v>257</v>
      </c>
      <c r="F97" t="s">
        <v>263</v>
      </c>
      <c r="G97">
        <v>861</v>
      </c>
      <c r="H97">
        <v>195</v>
      </c>
      <c r="I97">
        <v>7.64</v>
      </c>
      <c r="J97">
        <v>1489.8</v>
      </c>
      <c r="M97" t="str">
        <v>70</v>
      </c>
      <c r="N97" t="str">
        <v>Gigi Bohling</v>
      </c>
      <c r="O97" t="str">
        <v>India</v>
      </c>
      <c r="P97" t="str">
        <v>99% Dark &amp; Pure</v>
      </c>
      <c r="Q97">
        <v>861</v>
      </c>
      <c r="R97">
        <v>195</v>
      </c>
      <c r="S97">
        <v>7.64</v>
      </c>
      <c r="T97">
        <v>1489.8</v>
      </c>
    </row>
    <row r="98" spans="4:20" x14ac:dyDescent="0.3">
      <c r="D98" t="s">
        <v>262</v>
      </c>
      <c r="E98" t="s">
        <v>247</v>
      </c>
      <c r="F98" t="s">
        <v>251</v>
      </c>
      <c r="G98">
        <v>5586</v>
      </c>
      <c r="H98">
        <v>525</v>
      </c>
      <c r="I98">
        <v>11.7</v>
      </c>
      <c r="J98">
        <v>6142.5</v>
      </c>
      <c r="M98" t="str">
        <v>71</v>
      </c>
      <c r="N98" t="str">
        <v>Oby Sorrel</v>
      </c>
      <c r="O98" t="str">
        <v>Australia</v>
      </c>
      <c r="P98" t="str">
        <v>50% Dark Bites</v>
      </c>
      <c r="Q98">
        <v>5586</v>
      </c>
      <c r="R98">
        <v>525</v>
      </c>
      <c r="S98">
        <v>11.7</v>
      </c>
      <c r="T98">
        <v>6142.5</v>
      </c>
    </row>
    <row r="99" spans="4:20" x14ac:dyDescent="0.3">
      <c r="D99" t="s">
        <v>250</v>
      </c>
      <c r="E99" t="s">
        <v>257</v>
      </c>
      <c r="F99" t="s">
        <v>246</v>
      </c>
      <c r="G99">
        <v>2226</v>
      </c>
      <c r="H99">
        <v>48</v>
      </c>
      <c r="I99">
        <v>12.37</v>
      </c>
      <c r="J99">
        <v>593.76</v>
      </c>
      <c r="M99" t="str">
        <v>72</v>
      </c>
      <c r="N99" t="str">
        <v>Ches Bonnell</v>
      </c>
      <c r="O99" t="str">
        <v>India</v>
      </c>
      <c r="P99" t="str">
        <v>Peanut Butter Cubes</v>
      </c>
      <c r="Q99">
        <v>2226</v>
      </c>
      <c r="R99">
        <v>48</v>
      </c>
      <c r="S99">
        <v>12.37</v>
      </c>
      <c r="T99">
        <v>593.76</v>
      </c>
    </row>
    <row r="100" spans="4:20" x14ac:dyDescent="0.3">
      <c r="D100" t="s">
        <v>238</v>
      </c>
      <c r="E100" t="s">
        <v>257</v>
      </c>
      <c r="F100" t="s">
        <v>267</v>
      </c>
      <c r="G100">
        <v>14329</v>
      </c>
      <c r="H100">
        <v>150</v>
      </c>
      <c r="I100">
        <v>10.38</v>
      </c>
      <c r="J100">
        <v>1557</v>
      </c>
      <c r="M100" t="str">
        <v>73</v>
      </c>
      <c r="N100" t="str">
        <v>Husein Augar</v>
      </c>
      <c r="O100" t="str">
        <v>India</v>
      </c>
      <c r="P100" t="str">
        <v>Caramel Stuffed Bars</v>
      </c>
      <c r="Q100">
        <v>14329</v>
      </c>
      <c r="R100">
        <v>150</v>
      </c>
      <c r="S100">
        <v>10.38</v>
      </c>
      <c r="T100">
        <v>1557</v>
      </c>
    </row>
    <row r="101" spans="4:20" x14ac:dyDescent="0.3">
      <c r="D101" t="s">
        <v>238</v>
      </c>
      <c r="E101" t="s">
        <v>257</v>
      </c>
      <c r="F101" t="s">
        <v>260</v>
      </c>
      <c r="G101">
        <v>8463</v>
      </c>
      <c r="H101">
        <v>492</v>
      </c>
      <c r="I101">
        <v>10.62</v>
      </c>
      <c r="J101">
        <v>5225.04</v>
      </c>
      <c r="M101" t="str">
        <v>74</v>
      </c>
      <c r="N101" t="str">
        <v>Husein Augar</v>
      </c>
      <c r="O101" t="str">
        <v>India</v>
      </c>
      <c r="P101" t="str">
        <v>Orange Choco</v>
      </c>
      <c r="Q101">
        <v>8463</v>
      </c>
      <c r="R101">
        <v>492</v>
      </c>
      <c r="S101">
        <v>10.62</v>
      </c>
      <c r="T101">
        <v>5225.04</v>
      </c>
    </row>
    <row r="102" spans="4:20" x14ac:dyDescent="0.3">
      <c r="D102" t="s">
        <v>252</v>
      </c>
      <c r="E102" t="s">
        <v>257</v>
      </c>
      <c r="F102" t="s">
        <v>259</v>
      </c>
      <c r="G102">
        <v>2891</v>
      </c>
      <c r="H102">
        <v>102</v>
      </c>
      <c r="I102">
        <v>7.16</v>
      </c>
      <c r="J102">
        <v>730.32</v>
      </c>
      <c r="M102" t="str">
        <v>75</v>
      </c>
      <c r="N102" t="str">
        <v>Gigi Bohling</v>
      </c>
      <c r="O102" t="str">
        <v>India</v>
      </c>
      <c r="P102" t="str">
        <v>Manuka Honey Choco</v>
      </c>
      <c r="Q102">
        <v>2891</v>
      </c>
      <c r="R102">
        <v>102</v>
      </c>
      <c r="S102">
        <v>7.16</v>
      </c>
      <c r="T102">
        <v>730.32</v>
      </c>
    </row>
    <row r="103" spans="4:20" x14ac:dyDescent="0.3">
      <c r="D103" t="s">
        <v>254</v>
      </c>
      <c r="E103" t="s">
        <v>241</v>
      </c>
      <c r="F103" t="s">
        <v>261</v>
      </c>
      <c r="G103">
        <v>3773</v>
      </c>
      <c r="H103">
        <v>165</v>
      </c>
      <c r="I103">
        <v>6.49</v>
      </c>
      <c r="J103">
        <v>1070.8499999999999</v>
      </c>
      <c r="M103" t="str">
        <v>76</v>
      </c>
      <c r="N103" t="str">
        <v>Gunar Cockshoot</v>
      </c>
      <c r="O103" t="str">
        <v>Canada</v>
      </c>
      <c r="P103" t="str">
        <v>Fruit &amp; Nut Bars</v>
      </c>
      <c r="Q103">
        <v>3773</v>
      </c>
      <c r="R103">
        <v>165</v>
      </c>
      <c r="S103">
        <v>6.49</v>
      </c>
      <c r="T103">
        <v>1070.8499999999999</v>
      </c>
    </row>
    <row r="104" spans="4:20" x14ac:dyDescent="0.3">
      <c r="D104" t="s">
        <v>240</v>
      </c>
      <c r="E104" t="s">
        <v>241</v>
      </c>
      <c r="F104" t="s">
        <v>267</v>
      </c>
      <c r="G104">
        <v>854</v>
      </c>
      <c r="H104">
        <v>309</v>
      </c>
      <c r="I104">
        <v>10.38</v>
      </c>
      <c r="J104">
        <v>3207.42</v>
      </c>
      <c r="M104" t="str">
        <v>77</v>
      </c>
      <c r="N104" t="str">
        <v>Carla Molina</v>
      </c>
      <c r="O104" t="str">
        <v>Canada</v>
      </c>
      <c r="P104" t="str">
        <v>Caramel Stuffed Bars</v>
      </c>
      <c r="Q104">
        <v>854</v>
      </c>
      <c r="R104">
        <v>309</v>
      </c>
      <c r="S104">
        <v>10.38</v>
      </c>
      <c r="T104">
        <v>3207.42</v>
      </c>
    </row>
    <row r="105" spans="4:20" x14ac:dyDescent="0.3">
      <c r="D105" t="s">
        <v>243</v>
      </c>
      <c r="E105" t="s">
        <v>241</v>
      </c>
      <c r="F105" t="s">
        <v>255</v>
      </c>
      <c r="G105">
        <v>4970</v>
      </c>
      <c r="H105">
        <v>156</v>
      </c>
      <c r="I105">
        <v>3.11</v>
      </c>
      <c r="J105">
        <v>485.16</v>
      </c>
      <c r="M105" t="str">
        <v>78</v>
      </c>
      <c r="N105" t="str">
        <v>Curtice Advani</v>
      </c>
      <c r="O105" t="str">
        <v>Canada</v>
      </c>
      <c r="P105" t="str">
        <v>Eclairs</v>
      </c>
      <c r="Q105">
        <v>4970</v>
      </c>
      <c r="R105">
        <v>156</v>
      </c>
      <c r="S105">
        <v>3.11</v>
      </c>
      <c r="T105">
        <v>485.16</v>
      </c>
    </row>
    <row r="106" spans="4:20" x14ac:dyDescent="0.3">
      <c r="D106" t="s">
        <v>238</v>
      </c>
      <c r="E106" t="s">
        <v>236</v>
      </c>
      <c r="F106" t="s">
        <v>269</v>
      </c>
      <c r="G106">
        <v>98</v>
      </c>
      <c r="H106">
        <v>159</v>
      </c>
      <c r="I106">
        <v>5.6</v>
      </c>
      <c r="J106">
        <v>890.4</v>
      </c>
      <c r="M106" t="str">
        <v>79</v>
      </c>
      <c r="N106" t="str">
        <v>Husein Augar</v>
      </c>
      <c r="O106" t="str">
        <v>USA</v>
      </c>
      <c r="P106" t="str">
        <v>Baker's Choco Chips</v>
      </c>
      <c r="Q106">
        <v>98</v>
      </c>
      <c r="R106">
        <v>159</v>
      </c>
      <c r="S106">
        <v>5.6</v>
      </c>
      <c r="T106">
        <v>890.4</v>
      </c>
    </row>
    <row r="107" spans="4:20" x14ac:dyDescent="0.3">
      <c r="D107" t="s">
        <v>252</v>
      </c>
      <c r="E107" t="s">
        <v>236</v>
      </c>
      <c r="F107" t="s">
        <v>264</v>
      </c>
      <c r="G107">
        <v>13391</v>
      </c>
      <c r="H107">
        <v>201</v>
      </c>
      <c r="I107">
        <v>11.73</v>
      </c>
      <c r="J107">
        <v>2357.73</v>
      </c>
      <c r="M107" t="str">
        <v>80</v>
      </c>
      <c r="N107" t="str">
        <v>Gigi Bohling</v>
      </c>
      <c r="O107" t="str">
        <v>USA</v>
      </c>
      <c r="P107" t="str">
        <v>Raspberry Choco</v>
      </c>
      <c r="Q107">
        <v>13391</v>
      </c>
      <c r="R107">
        <v>201</v>
      </c>
      <c r="S107">
        <v>11.73</v>
      </c>
      <c r="T107">
        <v>2357.73</v>
      </c>
    </row>
    <row r="108" spans="4:20" x14ac:dyDescent="0.3">
      <c r="D108" t="s">
        <v>235</v>
      </c>
      <c r="E108" t="s">
        <v>244</v>
      </c>
      <c r="F108" t="s">
        <v>248</v>
      </c>
      <c r="G108">
        <v>8890</v>
      </c>
      <c r="H108">
        <v>210</v>
      </c>
      <c r="I108">
        <v>5.79</v>
      </c>
      <c r="J108">
        <v>1215.9000000000001</v>
      </c>
      <c r="M108" t="str">
        <v>81</v>
      </c>
      <c r="N108" t="str">
        <v>Brien Boise</v>
      </c>
      <c r="O108" t="str">
        <v>UK</v>
      </c>
      <c r="P108" t="str">
        <v>Smooth Sliky Salty</v>
      </c>
      <c r="Q108">
        <v>8890</v>
      </c>
      <c r="R108">
        <v>210</v>
      </c>
      <c r="S108">
        <v>5.79</v>
      </c>
      <c r="T108">
        <v>1215.9000000000001</v>
      </c>
    </row>
    <row r="109" spans="4:20" x14ac:dyDescent="0.3">
      <c r="D109" t="s">
        <v>253</v>
      </c>
      <c r="E109" t="s">
        <v>247</v>
      </c>
      <c r="F109" t="s">
        <v>258</v>
      </c>
      <c r="G109">
        <v>56</v>
      </c>
      <c r="H109">
        <v>51</v>
      </c>
      <c r="I109">
        <v>9.33</v>
      </c>
      <c r="J109">
        <v>475.83</v>
      </c>
      <c r="M109" t="str">
        <v>82</v>
      </c>
      <c r="N109" t="str">
        <v>Barr Faughny</v>
      </c>
      <c r="O109" t="str">
        <v>Australia</v>
      </c>
      <c r="P109" t="str">
        <v>Milk Bars</v>
      </c>
      <c r="Q109">
        <v>56</v>
      </c>
      <c r="R109">
        <v>51</v>
      </c>
      <c r="S109">
        <v>9.33</v>
      </c>
      <c r="T109">
        <v>475.83</v>
      </c>
    </row>
    <row r="110" spans="4:20" x14ac:dyDescent="0.3">
      <c r="D110" t="s">
        <v>254</v>
      </c>
      <c r="E110" t="s">
        <v>241</v>
      </c>
      <c r="F110" t="s">
        <v>245</v>
      </c>
      <c r="G110">
        <v>3339</v>
      </c>
      <c r="H110">
        <v>39</v>
      </c>
      <c r="I110">
        <v>13.15</v>
      </c>
      <c r="J110">
        <v>512.85</v>
      </c>
      <c r="M110" t="str">
        <v>83</v>
      </c>
      <c r="N110" t="str">
        <v>Gunar Cockshoot</v>
      </c>
      <c r="O110" t="str">
        <v>Canada</v>
      </c>
      <c r="P110" t="str">
        <v>White Choc</v>
      </c>
      <c r="Q110">
        <v>3339</v>
      </c>
      <c r="R110">
        <v>39</v>
      </c>
      <c r="S110">
        <v>13.15</v>
      </c>
      <c r="T110">
        <v>512.85</v>
      </c>
    </row>
    <row r="111" spans="4:20" x14ac:dyDescent="0.3">
      <c r="D111" t="s">
        <v>262</v>
      </c>
      <c r="E111" t="s">
        <v>236</v>
      </c>
      <c r="F111" t="s">
        <v>242</v>
      </c>
      <c r="G111">
        <v>3808</v>
      </c>
      <c r="H111">
        <v>279</v>
      </c>
      <c r="I111">
        <v>6.47</v>
      </c>
      <c r="J111">
        <v>1805.13</v>
      </c>
      <c r="M111" t="str">
        <v>84</v>
      </c>
      <c r="N111" t="str">
        <v>Oby Sorrel</v>
      </c>
      <c r="O111" t="str">
        <v>USA</v>
      </c>
      <c r="P111" t="str">
        <v>Drinking Coco</v>
      </c>
      <c r="Q111">
        <v>3808</v>
      </c>
      <c r="R111">
        <v>279</v>
      </c>
      <c r="S111">
        <v>6.47</v>
      </c>
      <c r="T111">
        <v>1805.13</v>
      </c>
    </row>
    <row r="112" spans="4:20" x14ac:dyDescent="0.3">
      <c r="D112" t="s">
        <v>262</v>
      </c>
      <c r="E112" t="s">
        <v>247</v>
      </c>
      <c r="F112" t="s">
        <v>258</v>
      </c>
      <c r="G112">
        <v>63</v>
      </c>
      <c r="H112">
        <v>123</v>
      </c>
      <c r="I112">
        <v>9.33</v>
      </c>
      <c r="J112">
        <v>1147.5899999999999</v>
      </c>
      <c r="M112" t="str">
        <v>85</v>
      </c>
      <c r="N112" t="str">
        <v>Oby Sorrel</v>
      </c>
      <c r="O112" t="str">
        <v>Australia</v>
      </c>
      <c r="P112" t="str">
        <v>Milk Bars</v>
      </c>
      <c r="Q112">
        <v>63</v>
      </c>
      <c r="R112">
        <v>123</v>
      </c>
      <c r="S112">
        <v>9.33</v>
      </c>
      <c r="T112">
        <v>1147.5899999999999</v>
      </c>
    </row>
    <row r="113" spans="4:20" x14ac:dyDescent="0.3">
      <c r="D113" t="s">
        <v>253</v>
      </c>
      <c r="E113" t="s">
        <v>244</v>
      </c>
      <c r="F113" t="s">
        <v>266</v>
      </c>
      <c r="G113">
        <v>7812</v>
      </c>
      <c r="H113">
        <v>81</v>
      </c>
      <c r="I113">
        <v>16.73</v>
      </c>
      <c r="J113">
        <v>1355.13</v>
      </c>
      <c r="M113" t="str">
        <v>86</v>
      </c>
      <c r="N113" t="str">
        <v>Barr Faughny</v>
      </c>
      <c r="O113" t="str">
        <v>UK</v>
      </c>
      <c r="P113" t="str">
        <v>Organic Choco Syrup</v>
      </c>
      <c r="Q113">
        <v>7812</v>
      </c>
      <c r="R113">
        <v>81</v>
      </c>
      <c r="S113">
        <v>16.73</v>
      </c>
      <c r="T113">
        <v>1355.13</v>
      </c>
    </row>
    <row r="114" spans="4:20" x14ac:dyDescent="0.3">
      <c r="D114" t="s">
        <v>232</v>
      </c>
      <c r="E114" t="s">
        <v>233</v>
      </c>
      <c r="F114" t="s">
        <v>263</v>
      </c>
      <c r="G114">
        <v>7693</v>
      </c>
      <c r="H114">
        <v>21</v>
      </c>
      <c r="I114">
        <v>7.64</v>
      </c>
      <c r="J114">
        <v>160.44</v>
      </c>
      <c r="M114" t="str">
        <v>87</v>
      </c>
      <c r="N114" t="str">
        <v>Ram Mahesh</v>
      </c>
      <c r="O114" t="str">
        <v>New Zealand</v>
      </c>
      <c r="P114" t="str">
        <v>99% Dark &amp; Pure</v>
      </c>
      <c r="Q114">
        <v>7693</v>
      </c>
      <c r="R114">
        <v>21</v>
      </c>
      <c r="S114">
        <v>7.64</v>
      </c>
      <c r="T114">
        <v>160.44</v>
      </c>
    </row>
    <row r="115" spans="4:20" x14ac:dyDescent="0.3">
      <c r="D115" t="s">
        <v>254</v>
      </c>
      <c r="E115" t="s">
        <v>241</v>
      </c>
      <c r="F115" t="s">
        <v>267</v>
      </c>
      <c r="G115">
        <v>973</v>
      </c>
      <c r="H115">
        <v>162</v>
      </c>
      <c r="I115">
        <v>10.38</v>
      </c>
      <c r="J115">
        <v>1681.56</v>
      </c>
      <c r="M115" t="str">
        <v>88</v>
      </c>
      <c r="N115" t="str">
        <v>Gunar Cockshoot</v>
      </c>
      <c r="O115" t="str">
        <v>Canada</v>
      </c>
      <c r="P115" t="str">
        <v>Caramel Stuffed Bars</v>
      </c>
      <c r="Q115">
        <v>973</v>
      </c>
      <c r="R115">
        <v>162</v>
      </c>
      <c r="S115">
        <v>10.38</v>
      </c>
      <c r="T115">
        <v>1681.56</v>
      </c>
    </row>
    <row r="116" spans="4:20" x14ac:dyDescent="0.3">
      <c r="D116" t="s">
        <v>262</v>
      </c>
      <c r="E116" t="s">
        <v>236</v>
      </c>
      <c r="F116" t="s">
        <v>268</v>
      </c>
      <c r="G116">
        <v>567</v>
      </c>
      <c r="H116">
        <v>228</v>
      </c>
      <c r="I116">
        <v>9</v>
      </c>
      <c r="J116">
        <v>2052</v>
      </c>
      <c r="M116" t="str">
        <v>89</v>
      </c>
      <c r="N116" t="str">
        <v>Oby Sorrel</v>
      </c>
      <c r="O116" t="str">
        <v>USA</v>
      </c>
      <c r="P116" t="str">
        <v>Spicy Special Slims</v>
      </c>
      <c r="Q116">
        <v>567</v>
      </c>
      <c r="R116">
        <v>228</v>
      </c>
      <c r="S116">
        <v>9</v>
      </c>
      <c r="T116">
        <v>2052</v>
      </c>
    </row>
    <row r="117" spans="4:20" x14ac:dyDescent="0.3">
      <c r="D117" t="s">
        <v>262</v>
      </c>
      <c r="E117" t="s">
        <v>241</v>
      </c>
      <c r="F117" t="s">
        <v>259</v>
      </c>
      <c r="G117">
        <v>2471</v>
      </c>
      <c r="H117">
        <v>342</v>
      </c>
      <c r="I117">
        <v>7.16</v>
      </c>
      <c r="J117">
        <v>2448.7199999999998</v>
      </c>
      <c r="M117" t="str">
        <v>90</v>
      </c>
      <c r="N117" t="str">
        <v>Oby Sorrel</v>
      </c>
      <c r="O117" t="str">
        <v>Canada</v>
      </c>
      <c r="P117" t="str">
        <v>Manuka Honey Choco</v>
      </c>
      <c r="Q117">
        <v>2471</v>
      </c>
      <c r="R117">
        <v>342</v>
      </c>
      <c r="S117">
        <v>7.16</v>
      </c>
      <c r="T117">
        <v>2448.7199999999998</v>
      </c>
    </row>
    <row r="118" spans="4:20" x14ac:dyDescent="0.3">
      <c r="D118" t="s">
        <v>252</v>
      </c>
      <c r="E118" t="s">
        <v>247</v>
      </c>
      <c r="F118" t="s">
        <v>258</v>
      </c>
      <c r="G118">
        <v>7189</v>
      </c>
      <c r="H118">
        <v>54</v>
      </c>
      <c r="I118">
        <v>9.33</v>
      </c>
      <c r="J118">
        <v>503.82</v>
      </c>
      <c r="M118" t="str">
        <v>91</v>
      </c>
      <c r="N118" t="str">
        <v>Gigi Bohling</v>
      </c>
      <c r="O118" t="str">
        <v>Australia</v>
      </c>
      <c r="P118" t="str">
        <v>Milk Bars</v>
      </c>
      <c r="Q118">
        <v>7189</v>
      </c>
      <c r="R118">
        <v>54</v>
      </c>
      <c r="S118">
        <v>9.33</v>
      </c>
      <c r="T118">
        <v>503.82</v>
      </c>
    </row>
    <row r="119" spans="4:20" x14ac:dyDescent="0.3">
      <c r="D119" t="s">
        <v>240</v>
      </c>
      <c r="E119" t="s">
        <v>236</v>
      </c>
      <c r="F119" t="s">
        <v>267</v>
      </c>
      <c r="G119">
        <v>7455</v>
      </c>
      <c r="H119">
        <v>216</v>
      </c>
      <c r="I119">
        <v>10.38</v>
      </c>
      <c r="J119">
        <v>2242.08</v>
      </c>
      <c r="M119" t="str">
        <v>92</v>
      </c>
      <c r="N119" t="str">
        <v>Carla Molina</v>
      </c>
      <c r="O119" t="str">
        <v>USA</v>
      </c>
      <c r="P119" t="str">
        <v>Caramel Stuffed Bars</v>
      </c>
      <c r="Q119">
        <v>7455</v>
      </c>
      <c r="R119">
        <v>216</v>
      </c>
      <c r="S119">
        <v>10.38</v>
      </c>
      <c r="T119">
        <v>2242.08</v>
      </c>
    </row>
    <row r="120" spans="4:20" x14ac:dyDescent="0.3">
      <c r="D120" t="s">
        <v>254</v>
      </c>
      <c r="E120" t="s">
        <v>257</v>
      </c>
      <c r="F120" t="s">
        <v>269</v>
      </c>
      <c r="G120">
        <v>3108</v>
      </c>
      <c r="H120">
        <v>54</v>
      </c>
      <c r="I120">
        <v>5.6</v>
      </c>
      <c r="J120">
        <v>302.39999999999998</v>
      </c>
      <c r="M120" t="str">
        <v>93</v>
      </c>
      <c r="N120" t="str">
        <v>Gunar Cockshoot</v>
      </c>
      <c r="O120" t="str">
        <v>India</v>
      </c>
      <c r="P120" t="str">
        <v>Baker's Choco Chips</v>
      </c>
      <c r="Q120">
        <v>3108</v>
      </c>
      <c r="R120">
        <v>54</v>
      </c>
      <c r="S120">
        <v>5.6</v>
      </c>
      <c r="T120">
        <v>302.39999999999998</v>
      </c>
    </row>
    <row r="121" spans="4:20" x14ac:dyDescent="0.3">
      <c r="D121" t="s">
        <v>243</v>
      </c>
      <c r="E121" t="s">
        <v>247</v>
      </c>
      <c r="F121" t="s">
        <v>245</v>
      </c>
      <c r="G121">
        <v>469</v>
      </c>
      <c r="H121">
        <v>75</v>
      </c>
      <c r="I121">
        <v>13.15</v>
      </c>
      <c r="J121">
        <v>986.25</v>
      </c>
      <c r="M121" t="str">
        <v>94</v>
      </c>
      <c r="N121" t="str">
        <v>Curtice Advani</v>
      </c>
      <c r="O121" t="str">
        <v>Australia</v>
      </c>
      <c r="P121" t="str">
        <v>White Choc</v>
      </c>
      <c r="Q121">
        <v>469</v>
      </c>
      <c r="R121">
        <v>75</v>
      </c>
      <c r="S121">
        <v>13.15</v>
      </c>
      <c r="T121">
        <v>986.25</v>
      </c>
    </row>
    <row r="122" spans="4:20" x14ac:dyDescent="0.3">
      <c r="D122" t="s">
        <v>238</v>
      </c>
      <c r="E122" t="s">
        <v>233</v>
      </c>
      <c r="F122" t="s">
        <v>261</v>
      </c>
      <c r="G122">
        <v>2737</v>
      </c>
      <c r="H122">
        <v>93</v>
      </c>
      <c r="I122">
        <v>6.49</v>
      </c>
      <c r="J122">
        <v>603.57000000000005</v>
      </c>
      <c r="M122" t="str">
        <v>95</v>
      </c>
      <c r="N122" t="str">
        <v>Husein Augar</v>
      </c>
      <c r="O122" t="str">
        <v>New Zealand</v>
      </c>
      <c r="P122" t="str">
        <v>Fruit &amp; Nut Bars</v>
      </c>
      <c r="Q122">
        <v>2737</v>
      </c>
      <c r="R122">
        <v>93</v>
      </c>
      <c r="S122">
        <v>6.49</v>
      </c>
      <c r="T122">
        <v>603.57000000000005</v>
      </c>
    </row>
    <row r="123" spans="4:20" x14ac:dyDescent="0.3">
      <c r="D123" t="s">
        <v>238</v>
      </c>
      <c r="E123" t="s">
        <v>233</v>
      </c>
      <c r="F123" t="s">
        <v>245</v>
      </c>
      <c r="G123">
        <v>4305</v>
      </c>
      <c r="H123">
        <v>156</v>
      </c>
      <c r="I123">
        <v>13.15</v>
      </c>
      <c r="J123">
        <v>2051.4</v>
      </c>
      <c r="M123" t="str">
        <v>96</v>
      </c>
      <c r="N123" t="str">
        <v>Husein Augar</v>
      </c>
      <c r="O123" t="str">
        <v>New Zealand</v>
      </c>
      <c r="P123" t="str">
        <v>White Choc</v>
      </c>
      <c r="Q123">
        <v>4305</v>
      </c>
      <c r="R123">
        <v>156</v>
      </c>
      <c r="S123">
        <v>13.15</v>
      </c>
      <c r="T123">
        <v>2051.4</v>
      </c>
    </row>
    <row r="124" spans="4:20" x14ac:dyDescent="0.3">
      <c r="D124" t="s">
        <v>238</v>
      </c>
      <c r="E124" t="s">
        <v>247</v>
      </c>
      <c r="F124" t="s">
        <v>255</v>
      </c>
      <c r="G124">
        <v>2408</v>
      </c>
      <c r="H124">
        <v>9</v>
      </c>
      <c r="I124">
        <v>3.11</v>
      </c>
      <c r="J124">
        <v>27.99</v>
      </c>
      <c r="M124" t="str">
        <v>97</v>
      </c>
      <c r="N124" t="str">
        <v>Husein Augar</v>
      </c>
      <c r="O124" t="str">
        <v>Australia</v>
      </c>
      <c r="P124" t="str">
        <v>Eclairs</v>
      </c>
      <c r="Q124">
        <v>2408</v>
      </c>
      <c r="R124">
        <v>9</v>
      </c>
      <c r="S124">
        <v>3.11</v>
      </c>
      <c r="T124">
        <v>27.99</v>
      </c>
    </row>
    <row r="125" spans="4:20" x14ac:dyDescent="0.3">
      <c r="D125" t="s">
        <v>254</v>
      </c>
      <c r="E125" t="s">
        <v>241</v>
      </c>
      <c r="F125" t="s">
        <v>263</v>
      </c>
      <c r="G125">
        <v>1281</v>
      </c>
      <c r="H125">
        <v>18</v>
      </c>
      <c r="I125">
        <v>7.64</v>
      </c>
      <c r="J125">
        <v>137.52000000000001</v>
      </c>
      <c r="M125" t="str">
        <v>98</v>
      </c>
      <c r="N125" t="str">
        <v>Gunar Cockshoot</v>
      </c>
      <c r="O125" t="str">
        <v>Canada</v>
      </c>
      <c r="P125" t="str">
        <v>99% Dark &amp; Pure</v>
      </c>
      <c r="Q125">
        <v>1281</v>
      </c>
      <c r="R125">
        <v>18</v>
      </c>
      <c r="S125">
        <v>7.64</v>
      </c>
      <c r="T125">
        <v>137.52000000000001</v>
      </c>
    </row>
    <row r="126" spans="4:20" x14ac:dyDescent="0.3">
      <c r="D126" t="s">
        <v>232</v>
      </c>
      <c r="E126" t="s">
        <v>236</v>
      </c>
      <c r="F126" t="s">
        <v>237</v>
      </c>
      <c r="G126">
        <v>12348</v>
      </c>
      <c r="H126">
        <v>234</v>
      </c>
      <c r="I126">
        <v>8.65</v>
      </c>
      <c r="J126">
        <v>2024.1</v>
      </c>
      <c r="M126" t="str">
        <v>99</v>
      </c>
      <c r="N126" t="str">
        <v>Ram Mahesh</v>
      </c>
      <c r="O126" t="str">
        <v>USA</v>
      </c>
      <c r="P126" t="str">
        <v>Choco Coated Almonds</v>
      </c>
      <c r="Q126">
        <v>12348</v>
      </c>
      <c r="R126">
        <v>234</v>
      </c>
      <c r="S126">
        <v>8.65</v>
      </c>
      <c r="T126">
        <v>2024.1</v>
      </c>
    </row>
    <row r="127" spans="4:20" x14ac:dyDescent="0.3">
      <c r="D127" t="s">
        <v>254</v>
      </c>
      <c r="E127" t="s">
        <v>257</v>
      </c>
      <c r="F127" t="s">
        <v>267</v>
      </c>
      <c r="G127">
        <v>3689</v>
      </c>
      <c r="H127">
        <v>312</v>
      </c>
      <c r="I127">
        <v>10.38</v>
      </c>
      <c r="J127">
        <v>3238.56</v>
      </c>
      <c r="M127" t="str">
        <v>100</v>
      </c>
      <c r="N127" t="str">
        <v>Gunar Cockshoot</v>
      </c>
      <c r="O127" t="str">
        <v>India</v>
      </c>
      <c r="P127" t="str">
        <v>Caramel Stuffed Bars</v>
      </c>
      <c r="Q127">
        <v>3689</v>
      </c>
      <c r="R127">
        <v>312</v>
      </c>
      <c r="S127">
        <v>10.38</v>
      </c>
      <c r="T127">
        <v>3238.56</v>
      </c>
    </row>
    <row r="128" spans="4:20" x14ac:dyDescent="0.3">
      <c r="D128" t="s">
        <v>250</v>
      </c>
      <c r="E128" t="s">
        <v>241</v>
      </c>
      <c r="F128" t="s">
        <v>263</v>
      </c>
      <c r="G128">
        <v>2870</v>
      </c>
      <c r="H128">
        <v>300</v>
      </c>
      <c r="I128">
        <v>7.64</v>
      </c>
      <c r="J128">
        <v>2292</v>
      </c>
      <c r="M128" t="str">
        <v>101</v>
      </c>
      <c r="N128" t="str">
        <v>Ches Bonnell</v>
      </c>
      <c r="O128" t="str">
        <v>Canada</v>
      </c>
      <c r="P128" t="str">
        <v>99% Dark &amp; Pure</v>
      </c>
      <c r="Q128">
        <v>2870</v>
      </c>
      <c r="R128">
        <v>300</v>
      </c>
      <c r="S128">
        <v>7.64</v>
      </c>
      <c r="T128">
        <v>2292</v>
      </c>
    </row>
    <row r="129" spans="4:20" x14ac:dyDescent="0.3">
      <c r="D129" t="s">
        <v>253</v>
      </c>
      <c r="E129" t="s">
        <v>241</v>
      </c>
      <c r="F129" t="s">
        <v>266</v>
      </c>
      <c r="G129">
        <v>798</v>
      </c>
      <c r="H129">
        <v>519</v>
      </c>
      <c r="I129">
        <v>16.73</v>
      </c>
      <c r="J129">
        <v>8682.8700000000008</v>
      </c>
      <c r="M129" t="str">
        <v>102</v>
      </c>
      <c r="N129" t="str">
        <v>Barr Faughny</v>
      </c>
      <c r="O129" t="str">
        <v>Canada</v>
      </c>
      <c r="P129" t="str">
        <v>Organic Choco Syrup</v>
      </c>
      <c r="Q129">
        <v>798</v>
      </c>
      <c r="R129">
        <v>519</v>
      </c>
      <c r="S129">
        <v>16.73</v>
      </c>
      <c r="T129">
        <v>8682.8700000000008</v>
      </c>
    </row>
    <row r="130" spans="4:20" x14ac:dyDescent="0.3">
      <c r="D130" t="s">
        <v>240</v>
      </c>
      <c r="E130" t="s">
        <v>233</v>
      </c>
      <c r="F130" t="s">
        <v>268</v>
      </c>
      <c r="G130">
        <v>2933</v>
      </c>
      <c r="H130">
        <v>9</v>
      </c>
      <c r="I130">
        <v>9</v>
      </c>
      <c r="J130">
        <v>81</v>
      </c>
      <c r="M130" t="str">
        <v>103</v>
      </c>
      <c r="N130" t="str">
        <v>Carla Molina</v>
      </c>
      <c r="O130" t="str">
        <v>New Zealand</v>
      </c>
      <c r="P130" t="str">
        <v>Spicy Special Slims</v>
      </c>
      <c r="Q130">
        <v>2933</v>
      </c>
      <c r="R130">
        <v>9</v>
      </c>
      <c r="S130">
        <v>9</v>
      </c>
      <c r="T130">
        <v>81</v>
      </c>
    </row>
    <row r="131" spans="4:20" x14ac:dyDescent="0.3">
      <c r="D131" t="s">
        <v>252</v>
      </c>
      <c r="E131" t="s">
        <v>236</v>
      </c>
      <c r="F131" t="s">
        <v>239</v>
      </c>
      <c r="G131">
        <v>2744</v>
      </c>
      <c r="H131">
        <v>9</v>
      </c>
      <c r="I131">
        <v>11.88</v>
      </c>
      <c r="J131">
        <v>106.92</v>
      </c>
      <c r="M131" t="str">
        <v>104</v>
      </c>
      <c r="N131" t="str">
        <v>Gigi Bohling</v>
      </c>
      <c r="O131" t="str">
        <v>USA</v>
      </c>
      <c r="P131" t="str">
        <v>Almond Choco</v>
      </c>
      <c r="Q131">
        <v>2744</v>
      </c>
      <c r="R131">
        <v>9</v>
      </c>
      <c r="S131">
        <v>11.88</v>
      </c>
      <c r="T131">
        <v>106.92</v>
      </c>
    </row>
    <row r="132" spans="4:20" x14ac:dyDescent="0.3">
      <c r="D132" t="s">
        <v>232</v>
      </c>
      <c r="E132" t="s">
        <v>241</v>
      </c>
      <c r="F132" t="s">
        <v>246</v>
      </c>
      <c r="G132">
        <v>9772</v>
      </c>
      <c r="H132">
        <v>90</v>
      </c>
      <c r="I132">
        <v>12.37</v>
      </c>
      <c r="J132">
        <v>1113.3</v>
      </c>
      <c r="M132" t="str">
        <v>105</v>
      </c>
      <c r="N132" t="str">
        <v>Ram Mahesh</v>
      </c>
      <c r="O132" t="str">
        <v>Canada</v>
      </c>
      <c r="P132" t="str">
        <v>Peanut Butter Cubes</v>
      </c>
      <c r="Q132">
        <v>9772</v>
      </c>
      <c r="R132">
        <v>90</v>
      </c>
      <c r="S132">
        <v>12.37</v>
      </c>
      <c r="T132">
        <v>1113.3</v>
      </c>
    </row>
    <row r="133" spans="4:20" x14ac:dyDescent="0.3">
      <c r="D133" t="s">
        <v>250</v>
      </c>
      <c r="E133" t="s">
        <v>257</v>
      </c>
      <c r="F133" t="s">
        <v>245</v>
      </c>
      <c r="G133">
        <v>1568</v>
      </c>
      <c r="H133">
        <v>96</v>
      </c>
      <c r="I133">
        <v>13.15</v>
      </c>
      <c r="J133">
        <v>1262.4000000000001</v>
      </c>
      <c r="M133" t="str">
        <v>106</v>
      </c>
      <c r="N133" t="str">
        <v>Ches Bonnell</v>
      </c>
      <c r="O133" t="str">
        <v>India</v>
      </c>
      <c r="P133" t="str">
        <v>White Choc</v>
      </c>
      <c r="Q133">
        <v>1568</v>
      </c>
      <c r="R133">
        <v>96</v>
      </c>
      <c r="S133">
        <v>13.15</v>
      </c>
      <c r="T133">
        <v>1262.4000000000001</v>
      </c>
    </row>
    <row r="134" spans="4:20" x14ac:dyDescent="0.3">
      <c r="D134" t="s">
        <v>253</v>
      </c>
      <c r="E134" t="s">
        <v>241</v>
      </c>
      <c r="F134" t="s">
        <v>256</v>
      </c>
      <c r="G134">
        <v>11417</v>
      </c>
      <c r="H134">
        <v>21</v>
      </c>
      <c r="I134">
        <v>8.7899999999999991</v>
      </c>
      <c r="J134">
        <v>184.59</v>
      </c>
      <c r="M134" t="str">
        <v>107</v>
      </c>
      <c r="N134" t="str">
        <v>Barr Faughny</v>
      </c>
      <c r="O134" t="str">
        <v>Canada</v>
      </c>
      <c r="P134" t="str">
        <v>Mint Chip Choco</v>
      </c>
      <c r="Q134">
        <v>11417</v>
      </c>
      <c r="R134">
        <v>21</v>
      </c>
      <c r="S134">
        <v>8.7899999999999991</v>
      </c>
      <c r="T134">
        <v>184.59</v>
      </c>
    </row>
    <row r="135" spans="4:20" x14ac:dyDescent="0.3">
      <c r="D135" t="s">
        <v>232</v>
      </c>
      <c r="E135" t="s">
        <v>257</v>
      </c>
      <c r="F135" t="s">
        <v>269</v>
      </c>
      <c r="G135">
        <v>6748</v>
      </c>
      <c r="H135">
        <v>48</v>
      </c>
      <c r="I135">
        <v>5.6</v>
      </c>
      <c r="J135">
        <v>268.8</v>
      </c>
      <c r="M135" t="str">
        <v>108</v>
      </c>
      <c r="N135" t="str">
        <v>Ram Mahesh</v>
      </c>
      <c r="O135" t="str">
        <v>India</v>
      </c>
      <c r="P135" t="str">
        <v>Baker's Choco Chips</v>
      </c>
      <c r="Q135">
        <v>6748</v>
      </c>
      <c r="R135">
        <v>48</v>
      </c>
      <c r="S135">
        <v>5.6</v>
      </c>
      <c r="T135">
        <v>268.8</v>
      </c>
    </row>
    <row r="136" spans="4:20" x14ac:dyDescent="0.3">
      <c r="D136" t="s">
        <v>262</v>
      </c>
      <c r="E136" t="s">
        <v>241</v>
      </c>
      <c r="F136" t="s">
        <v>266</v>
      </c>
      <c r="G136">
        <v>1407</v>
      </c>
      <c r="H136">
        <v>72</v>
      </c>
      <c r="I136">
        <v>16.73</v>
      </c>
      <c r="J136">
        <v>1204.56</v>
      </c>
      <c r="M136" t="str">
        <v>109</v>
      </c>
      <c r="N136" t="str">
        <v>Oby Sorrel</v>
      </c>
      <c r="O136" t="str">
        <v>Canada</v>
      </c>
      <c r="P136" t="str">
        <v>Organic Choco Syrup</v>
      </c>
      <c r="Q136">
        <v>1407</v>
      </c>
      <c r="R136">
        <v>72</v>
      </c>
      <c r="S136">
        <v>16.73</v>
      </c>
      <c r="T136">
        <v>1204.56</v>
      </c>
    </row>
    <row r="137" spans="4:20" x14ac:dyDescent="0.3">
      <c r="D137" t="s">
        <v>235</v>
      </c>
      <c r="E137" t="s">
        <v>236</v>
      </c>
      <c r="F137" t="s">
        <v>259</v>
      </c>
      <c r="G137">
        <v>2023</v>
      </c>
      <c r="H137">
        <v>168</v>
      </c>
      <c r="I137">
        <v>7.16</v>
      </c>
      <c r="J137">
        <v>1202.8800000000001</v>
      </c>
      <c r="M137" t="str">
        <v>110</v>
      </c>
      <c r="N137" t="str">
        <v>Brien Boise</v>
      </c>
      <c r="O137" t="str">
        <v>USA</v>
      </c>
      <c r="P137" t="str">
        <v>Manuka Honey Choco</v>
      </c>
      <c r="Q137">
        <v>2023</v>
      </c>
      <c r="R137">
        <v>168</v>
      </c>
      <c r="S137">
        <v>7.16</v>
      </c>
      <c r="T137">
        <v>1202.8800000000001</v>
      </c>
    </row>
    <row r="138" spans="4:20" x14ac:dyDescent="0.3">
      <c r="D138" t="s">
        <v>252</v>
      </c>
      <c r="E138" t="s">
        <v>244</v>
      </c>
      <c r="F138" t="s">
        <v>269</v>
      </c>
      <c r="G138">
        <v>5236</v>
      </c>
      <c r="H138">
        <v>51</v>
      </c>
      <c r="I138">
        <v>5.6</v>
      </c>
      <c r="J138">
        <v>285.60000000000002</v>
      </c>
      <c r="M138" t="str">
        <v>111</v>
      </c>
      <c r="N138" t="str">
        <v>Gigi Bohling</v>
      </c>
      <c r="O138" t="str">
        <v>UK</v>
      </c>
      <c r="P138" t="str">
        <v>Baker's Choco Chips</v>
      </c>
      <c r="Q138">
        <v>5236</v>
      </c>
      <c r="R138">
        <v>51</v>
      </c>
      <c r="S138">
        <v>5.6</v>
      </c>
      <c r="T138">
        <v>285.60000000000002</v>
      </c>
    </row>
    <row r="139" spans="4:20" x14ac:dyDescent="0.3">
      <c r="D139" t="s">
        <v>240</v>
      </c>
      <c r="E139" t="s">
        <v>241</v>
      </c>
      <c r="F139" t="s">
        <v>263</v>
      </c>
      <c r="G139">
        <v>1925</v>
      </c>
      <c r="H139">
        <v>192</v>
      </c>
      <c r="I139">
        <v>7.64</v>
      </c>
      <c r="J139">
        <v>1466.88</v>
      </c>
      <c r="M139" t="str">
        <v>112</v>
      </c>
      <c r="N139" t="str">
        <v>Carla Molina</v>
      </c>
      <c r="O139" t="str">
        <v>Canada</v>
      </c>
      <c r="P139" t="str">
        <v>99% Dark &amp; Pure</v>
      </c>
      <c r="Q139">
        <v>1925</v>
      </c>
      <c r="R139">
        <v>192</v>
      </c>
      <c r="S139">
        <v>7.64</v>
      </c>
      <c r="T139">
        <v>1466.88</v>
      </c>
    </row>
    <row r="140" spans="4:20" x14ac:dyDescent="0.3">
      <c r="D140" t="s">
        <v>250</v>
      </c>
      <c r="E140" t="s">
        <v>233</v>
      </c>
      <c r="F140" t="s">
        <v>251</v>
      </c>
      <c r="G140">
        <v>6608</v>
      </c>
      <c r="H140">
        <v>225</v>
      </c>
      <c r="I140">
        <v>11.7</v>
      </c>
      <c r="J140">
        <v>2632.5</v>
      </c>
      <c r="M140" t="str">
        <v>113</v>
      </c>
      <c r="N140" t="str">
        <v>Ches Bonnell</v>
      </c>
      <c r="O140" t="str">
        <v>New Zealand</v>
      </c>
      <c r="P140" t="str">
        <v>50% Dark Bites</v>
      </c>
      <c r="Q140">
        <v>6608</v>
      </c>
      <c r="R140">
        <v>225</v>
      </c>
      <c r="S140">
        <v>11.7</v>
      </c>
      <c r="T140">
        <v>2632.5</v>
      </c>
    </row>
    <row r="141" spans="4:20" x14ac:dyDescent="0.3">
      <c r="D141" t="s">
        <v>243</v>
      </c>
      <c r="E141" t="s">
        <v>257</v>
      </c>
      <c r="F141" t="s">
        <v>269</v>
      </c>
      <c r="G141">
        <v>8008</v>
      </c>
      <c r="H141">
        <v>456</v>
      </c>
      <c r="I141">
        <v>5.6</v>
      </c>
      <c r="J141">
        <v>2553.6</v>
      </c>
      <c r="M141" t="str">
        <v>114</v>
      </c>
      <c r="N141" t="str">
        <v>Curtice Advani</v>
      </c>
      <c r="O141" t="str">
        <v>India</v>
      </c>
      <c r="P141" t="str">
        <v>Baker's Choco Chips</v>
      </c>
      <c r="Q141">
        <v>8008</v>
      </c>
      <c r="R141">
        <v>456</v>
      </c>
      <c r="S141">
        <v>5.6</v>
      </c>
      <c r="T141">
        <v>2553.6</v>
      </c>
    </row>
    <row r="142" spans="4:20" x14ac:dyDescent="0.3">
      <c r="D142" t="s">
        <v>262</v>
      </c>
      <c r="E142" t="s">
        <v>257</v>
      </c>
      <c r="F142" t="s">
        <v>245</v>
      </c>
      <c r="G142">
        <v>1428</v>
      </c>
      <c r="H142">
        <v>93</v>
      </c>
      <c r="I142">
        <v>13.15</v>
      </c>
      <c r="J142">
        <v>1222.95</v>
      </c>
      <c r="M142" t="str">
        <v>115</v>
      </c>
      <c r="N142" t="str">
        <v>Oby Sorrel</v>
      </c>
      <c r="O142" t="str">
        <v>India</v>
      </c>
      <c r="P142" t="str">
        <v>White Choc</v>
      </c>
      <c r="Q142">
        <v>1428</v>
      </c>
      <c r="R142">
        <v>93</v>
      </c>
      <c r="S142">
        <v>13.15</v>
      </c>
      <c r="T142">
        <v>1222.95</v>
      </c>
    </row>
    <row r="143" spans="4:20" x14ac:dyDescent="0.3">
      <c r="D143" t="s">
        <v>243</v>
      </c>
      <c r="E143" t="s">
        <v>257</v>
      </c>
      <c r="F143" t="s">
        <v>239</v>
      </c>
      <c r="G143">
        <v>525</v>
      </c>
      <c r="H143">
        <v>48</v>
      </c>
      <c r="I143">
        <v>11.88</v>
      </c>
      <c r="J143">
        <v>570.24</v>
      </c>
      <c r="M143" t="str">
        <v>116</v>
      </c>
      <c r="N143" t="str">
        <v>Curtice Advani</v>
      </c>
      <c r="O143" t="str">
        <v>India</v>
      </c>
      <c r="P143" t="str">
        <v>Almond Choco</v>
      </c>
      <c r="Q143">
        <v>525</v>
      </c>
      <c r="R143">
        <v>48</v>
      </c>
      <c r="S143">
        <v>11.88</v>
      </c>
      <c r="T143">
        <v>570.24</v>
      </c>
    </row>
    <row r="144" spans="4:20" x14ac:dyDescent="0.3">
      <c r="D144" t="s">
        <v>243</v>
      </c>
      <c r="E144" t="s">
        <v>233</v>
      </c>
      <c r="F144" t="s">
        <v>242</v>
      </c>
      <c r="G144">
        <v>1505</v>
      </c>
      <c r="H144">
        <v>102</v>
      </c>
      <c r="I144">
        <v>6.47</v>
      </c>
      <c r="J144">
        <v>659.94</v>
      </c>
      <c r="M144" t="str">
        <v>117</v>
      </c>
      <c r="N144" t="str">
        <v>Curtice Advani</v>
      </c>
      <c r="O144" t="str">
        <v>New Zealand</v>
      </c>
      <c r="P144" t="str">
        <v>Drinking Coco</v>
      </c>
      <c r="Q144">
        <v>1505</v>
      </c>
      <c r="R144">
        <v>102</v>
      </c>
      <c r="S144">
        <v>6.47</v>
      </c>
      <c r="T144">
        <v>659.94</v>
      </c>
    </row>
    <row r="145" spans="4:20" x14ac:dyDescent="0.3">
      <c r="D145" t="s">
        <v>250</v>
      </c>
      <c r="E145" t="s">
        <v>236</v>
      </c>
      <c r="F145" t="s">
        <v>234</v>
      </c>
      <c r="G145">
        <v>6755</v>
      </c>
      <c r="H145">
        <v>252</v>
      </c>
      <c r="I145">
        <v>14.49</v>
      </c>
      <c r="J145">
        <v>3651.48</v>
      </c>
      <c r="M145" t="str">
        <v>118</v>
      </c>
      <c r="N145" t="str">
        <v>Ches Bonnell</v>
      </c>
      <c r="O145" t="str">
        <v>USA</v>
      </c>
      <c r="P145" t="str">
        <v>70% Dark Bites</v>
      </c>
      <c r="Q145">
        <v>6755</v>
      </c>
      <c r="R145">
        <v>252</v>
      </c>
      <c r="S145">
        <v>14.49</v>
      </c>
      <c r="T145">
        <v>3651.48</v>
      </c>
    </row>
    <row r="146" spans="4:20" x14ac:dyDescent="0.3">
      <c r="D146" t="s">
        <v>253</v>
      </c>
      <c r="E146" t="s">
        <v>233</v>
      </c>
      <c r="F146" t="s">
        <v>242</v>
      </c>
      <c r="G146">
        <v>11571</v>
      </c>
      <c r="H146">
        <v>138</v>
      </c>
      <c r="I146">
        <v>6.47</v>
      </c>
      <c r="J146">
        <v>892.86</v>
      </c>
      <c r="M146" t="str">
        <v>119</v>
      </c>
      <c r="N146" t="str">
        <v>Barr Faughny</v>
      </c>
      <c r="O146" t="str">
        <v>New Zealand</v>
      </c>
      <c r="P146" t="str">
        <v>Drinking Coco</v>
      </c>
      <c r="Q146">
        <v>11571</v>
      </c>
      <c r="R146">
        <v>138</v>
      </c>
      <c r="S146">
        <v>6.47</v>
      </c>
      <c r="T146">
        <v>892.86</v>
      </c>
    </row>
    <row r="147" spans="4:20" x14ac:dyDescent="0.3">
      <c r="D147" t="s">
        <v>232</v>
      </c>
      <c r="E147" t="s">
        <v>247</v>
      </c>
      <c r="F147" t="s">
        <v>245</v>
      </c>
      <c r="G147">
        <v>2541</v>
      </c>
      <c r="H147">
        <v>90</v>
      </c>
      <c r="I147">
        <v>13.15</v>
      </c>
      <c r="J147">
        <v>1183.5</v>
      </c>
      <c r="M147" t="str">
        <v>120</v>
      </c>
      <c r="N147" t="str">
        <v>Ram Mahesh</v>
      </c>
      <c r="O147" t="str">
        <v>Australia</v>
      </c>
      <c r="P147" t="str">
        <v>White Choc</v>
      </c>
      <c r="Q147">
        <v>2541</v>
      </c>
      <c r="R147">
        <v>90</v>
      </c>
      <c r="S147">
        <v>13.15</v>
      </c>
      <c r="T147">
        <v>1183.5</v>
      </c>
    </row>
    <row r="148" spans="4:20" x14ac:dyDescent="0.3">
      <c r="D148" t="s">
        <v>240</v>
      </c>
      <c r="E148" t="s">
        <v>233</v>
      </c>
      <c r="F148" t="s">
        <v>234</v>
      </c>
      <c r="G148">
        <v>1526</v>
      </c>
      <c r="H148">
        <v>240</v>
      </c>
      <c r="I148">
        <v>14.49</v>
      </c>
      <c r="J148">
        <v>3477.6</v>
      </c>
      <c r="M148" t="str">
        <v>121</v>
      </c>
      <c r="N148" t="str">
        <v>Carla Molina</v>
      </c>
      <c r="O148" t="str">
        <v>New Zealand</v>
      </c>
      <c r="P148" t="str">
        <v>70% Dark Bites</v>
      </c>
      <c r="Q148">
        <v>1526</v>
      </c>
      <c r="R148">
        <v>240</v>
      </c>
      <c r="S148">
        <v>14.49</v>
      </c>
      <c r="T148">
        <v>3477.6</v>
      </c>
    </row>
    <row r="149" spans="4:20" x14ac:dyDescent="0.3">
      <c r="D149" t="s">
        <v>232</v>
      </c>
      <c r="E149" t="s">
        <v>247</v>
      </c>
      <c r="F149" t="s">
        <v>239</v>
      </c>
      <c r="G149">
        <v>6125</v>
      </c>
      <c r="H149">
        <v>102</v>
      </c>
      <c r="I149">
        <v>11.88</v>
      </c>
      <c r="J149">
        <v>1211.76</v>
      </c>
      <c r="M149" t="str">
        <v>122</v>
      </c>
      <c r="N149" t="str">
        <v>Ram Mahesh</v>
      </c>
      <c r="O149" t="str">
        <v>Australia</v>
      </c>
      <c r="P149" t="str">
        <v>Almond Choco</v>
      </c>
      <c r="Q149">
        <v>6125</v>
      </c>
      <c r="R149">
        <v>102</v>
      </c>
      <c r="S149">
        <v>11.88</v>
      </c>
      <c r="T149">
        <v>1211.76</v>
      </c>
    </row>
    <row r="150" spans="4:20" x14ac:dyDescent="0.3">
      <c r="D150" t="s">
        <v>240</v>
      </c>
      <c r="E150" t="s">
        <v>236</v>
      </c>
      <c r="F150" t="s">
        <v>266</v>
      </c>
      <c r="G150">
        <v>847</v>
      </c>
      <c r="H150">
        <v>129</v>
      </c>
      <c r="I150">
        <v>16.73</v>
      </c>
      <c r="J150">
        <v>2158.17</v>
      </c>
      <c r="M150" t="str">
        <v>123</v>
      </c>
      <c r="N150" t="str">
        <v>Carla Molina</v>
      </c>
      <c r="O150" t="str">
        <v>USA</v>
      </c>
      <c r="P150" t="str">
        <v>Organic Choco Syrup</v>
      </c>
      <c r="Q150">
        <v>847</v>
      </c>
      <c r="R150">
        <v>129</v>
      </c>
      <c r="S150">
        <v>16.73</v>
      </c>
      <c r="T150">
        <v>2158.17</v>
      </c>
    </row>
    <row r="151" spans="4:20" x14ac:dyDescent="0.3">
      <c r="D151" t="s">
        <v>235</v>
      </c>
      <c r="E151" t="s">
        <v>236</v>
      </c>
      <c r="F151" t="s">
        <v>266</v>
      </c>
      <c r="G151">
        <v>4753</v>
      </c>
      <c r="H151">
        <v>300</v>
      </c>
      <c r="I151">
        <v>16.73</v>
      </c>
      <c r="J151">
        <v>5019</v>
      </c>
      <c r="M151" t="str">
        <v>124</v>
      </c>
      <c r="N151" t="str">
        <v>Brien Boise</v>
      </c>
      <c r="O151" t="str">
        <v>USA</v>
      </c>
      <c r="P151" t="str">
        <v>Organic Choco Syrup</v>
      </c>
      <c r="Q151">
        <v>4753</v>
      </c>
      <c r="R151">
        <v>300</v>
      </c>
      <c r="S151">
        <v>16.73</v>
      </c>
      <c r="T151">
        <v>5019</v>
      </c>
    </row>
    <row r="152" spans="4:20" x14ac:dyDescent="0.3">
      <c r="D152" t="s">
        <v>243</v>
      </c>
      <c r="E152" t="s">
        <v>247</v>
      </c>
      <c r="F152" t="s">
        <v>246</v>
      </c>
      <c r="G152">
        <v>959</v>
      </c>
      <c r="H152">
        <v>135</v>
      </c>
      <c r="I152">
        <v>12.37</v>
      </c>
      <c r="J152">
        <v>1669.95</v>
      </c>
      <c r="M152" t="str">
        <v>125</v>
      </c>
      <c r="N152" t="str">
        <v>Curtice Advani</v>
      </c>
      <c r="O152" t="str">
        <v>Australia</v>
      </c>
      <c r="P152" t="str">
        <v>Peanut Butter Cubes</v>
      </c>
      <c r="Q152">
        <v>959</v>
      </c>
      <c r="R152">
        <v>135</v>
      </c>
      <c r="S152">
        <v>12.37</v>
      </c>
      <c r="T152">
        <v>1669.95</v>
      </c>
    </row>
    <row r="153" spans="4:20" x14ac:dyDescent="0.3">
      <c r="D153" t="s">
        <v>250</v>
      </c>
      <c r="E153" t="s">
        <v>236</v>
      </c>
      <c r="F153" t="s">
        <v>265</v>
      </c>
      <c r="G153">
        <v>2793</v>
      </c>
      <c r="H153">
        <v>114</v>
      </c>
      <c r="I153">
        <v>4.97</v>
      </c>
      <c r="J153">
        <v>566.58000000000004</v>
      </c>
      <c r="M153" t="str">
        <v>126</v>
      </c>
      <c r="N153" t="str">
        <v>Ches Bonnell</v>
      </c>
      <c r="O153" t="str">
        <v>USA</v>
      </c>
      <c r="P153" t="str">
        <v>85% Dark Bars</v>
      </c>
      <c r="Q153">
        <v>2793</v>
      </c>
      <c r="R153">
        <v>114</v>
      </c>
      <c r="S153">
        <v>4.97</v>
      </c>
      <c r="T153">
        <v>566.58000000000004</v>
      </c>
    </row>
    <row r="154" spans="4:20" x14ac:dyDescent="0.3">
      <c r="D154" t="s">
        <v>250</v>
      </c>
      <c r="E154" t="s">
        <v>236</v>
      </c>
      <c r="F154" t="s">
        <v>251</v>
      </c>
      <c r="G154">
        <v>4606</v>
      </c>
      <c r="H154">
        <v>63</v>
      </c>
      <c r="I154">
        <v>11.7</v>
      </c>
      <c r="J154">
        <v>737.1</v>
      </c>
      <c r="M154" t="str">
        <v>127</v>
      </c>
      <c r="N154" t="str">
        <v>Ches Bonnell</v>
      </c>
      <c r="O154" t="str">
        <v>USA</v>
      </c>
      <c r="P154" t="str">
        <v>50% Dark Bites</v>
      </c>
      <c r="Q154">
        <v>4606</v>
      </c>
      <c r="R154">
        <v>63</v>
      </c>
      <c r="S154">
        <v>11.7</v>
      </c>
      <c r="T154">
        <v>737.1</v>
      </c>
    </row>
    <row r="155" spans="4:20" x14ac:dyDescent="0.3">
      <c r="D155" t="s">
        <v>250</v>
      </c>
      <c r="E155" t="s">
        <v>241</v>
      </c>
      <c r="F155" t="s">
        <v>259</v>
      </c>
      <c r="G155">
        <v>5551</v>
      </c>
      <c r="H155">
        <v>252</v>
      </c>
      <c r="I155">
        <v>7.16</v>
      </c>
      <c r="J155">
        <v>1804.32</v>
      </c>
      <c r="M155" t="str">
        <v>128</v>
      </c>
      <c r="N155" t="str">
        <v>Ches Bonnell</v>
      </c>
      <c r="O155" t="str">
        <v>Canada</v>
      </c>
      <c r="P155" t="str">
        <v>Manuka Honey Choco</v>
      </c>
      <c r="Q155">
        <v>5551</v>
      </c>
      <c r="R155">
        <v>252</v>
      </c>
      <c r="S155">
        <v>7.16</v>
      </c>
      <c r="T155">
        <v>1804.32</v>
      </c>
    </row>
    <row r="156" spans="4:20" x14ac:dyDescent="0.3">
      <c r="D156" t="s">
        <v>262</v>
      </c>
      <c r="E156" t="s">
        <v>241</v>
      </c>
      <c r="F156" t="s">
        <v>237</v>
      </c>
      <c r="G156">
        <v>6657</v>
      </c>
      <c r="H156">
        <v>303</v>
      </c>
      <c r="I156">
        <v>8.65</v>
      </c>
      <c r="J156">
        <v>2620.9499999999998</v>
      </c>
      <c r="M156" t="str">
        <v>129</v>
      </c>
      <c r="N156" t="str">
        <v>Oby Sorrel</v>
      </c>
      <c r="O156" t="str">
        <v>Canada</v>
      </c>
      <c r="P156" t="str">
        <v>Choco Coated Almonds</v>
      </c>
      <c r="Q156">
        <v>6657</v>
      </c>
      <c r="R156">
        <v>303</v>
      </c>
      <c r="S156">
        <v>8.65</v>
      </c>
      <c r="T156">
        <v>2620.9499999999998</v>
      </c>
    </row>
    <row r="157" spans="4:20" x14ac:dyDescent="0.3">
      <c r="D157" t="s">
        <v>250</v>
      </c>
      <c r="E157" t="s">
        <v>244</v>
      </c>
      <c r="F157" t="s">
        <v>255</v>
      </c>
      <c r="G157">
        <v>4438</v>
      </c>
      <c r="H157">
        <v>246</v>
      </c>
      <c r="I157">
        <v>3.11</v>
      </c>
      <c r="J157">
        <v>765.06</v>
      </c>
      <c r="M157" t="str">
        <v>130</v>
      </c>
      <c r="N157" t="str">
        <v>Ches Bonnell</v>
      </c>
      <c r="O157" t="str">
        <v>UK</v>
      </c>
      <c r="P157" t="str">
        <v>Eclairs</v>
      </c>
      <c r="Q157">
        <v>4438</v>
      </c>
      <c r="R157">
        <v>246</v>
      </c>
      <c r="S157">
        <v>3.11</v>
      </c>
      <c r="T157">
        <v>765.06</v>
      </c>
    </row>
    <row r="158" spans="4:20" x14ac:dyDescent="0.3">
      <c r="D158" t="s">
        <v>235</v>
      </c>
      <c r="E158" t="s">
        <v>247</v>
      </c>
      <c r="F158" t="s">
        <v>249</v>
      </c>
      <c r="G158">
        <v>168</v>
      </c>
      <c r="H158">
        <v>84</v>
      </c>
      <c r="I158">
        <v>9.77</v>
      </c>
      <c r="J158">
        <v>820.68</v>
      </c>
      <c r="M158" t="str">
        <v>131</v>
      </c>
      <c r="N158" t="str">
        <v>Brien Boise</v>
      </c>
      <c r="O158" t="str">
        <v>Australia</v>
      </c>
      <c r="P158" t="str">
        <v>After Nines</v>
      </c>
      <c r="Q158">
        <v>168</v>
      </c>
      <c r="R158">
        <v>84</v>
      </c>
      <c r="S158">
        <v>9.77</v>
      </c>
      <c r="T158">
        <v>820.68</v>
      </c>
    </row>
    <row r="159" spans="4:20" x14ac:dyDescent="0.3">
      <c r="D159" t="s">
        <v>250</v>
      </c>
      <c r="E159" t="s">
        <v>257</v>
      </c>
      <c r="F159" t="s">
        <v>255</v>
      </c>
      <c r="G159">
        <v>7777</v>
      </c>
      <c r="H159">
        <v>39</v>
      </c>
      <c r="I159">
        <v>3.11</v>
      </c>
      <c r="J159">
        <v>121.29</v>
      </c>
      <c r="M159" t="str">
        <v>132</v>
      </c>
      <c r="N159" t="str">
        <v>Ches Bonnell</v>
      </c>
      <c r="O159" t="str">
        <v>India</v>
      </c>
      <c r="P159" t="str">
        <v>Eclairs</v>
      </c>
      <c r="Q159">
        <v>7777</v>
      </c>
      <c r="R159">
        <v>39</v>
      </c>
      <c r="S159">
        <v>3.11</v>
      </c>
      <c r="T159">
        <v>121.29</v>
      </c>
    </row>
    <row r="160" spans="4:20" x14ac:dyDescent="0.3">
      <c r="D160" t="s">
        <v>252</v>
      </c>
      <c r="E160" t="s">
        <v>241</v>
      </c>
      <c r="F160" t="s">
        <v>255</v>
      </c>
      <c r="G160">
        <v>3339</v>
      </c>
      <c r="H160">
        <v>348</v>
      </c>
      <c r="I160">
        <v>3.11</v>
      </c>
      <c r="J160">
        <v>1082.28</v>
      </c>
      <c r="M160" t="str">
        <v>133</v>
      </c>
      <c r="N160" t="str">
        <v>Gigi Bohling</v>
      </c>
      <c r="O160" t="str">
        <v>Canada</v>
      </c>
      <c r="P160" t="str">
        <v>Eclairs</v>
      </c>
      <c r="Q160">
        <v>3339</v>
      </c>
      <c r="R160">
        <v>348</v>
      </c>
      <c r="S160">
        <v>3.11</v>
      </c>
      <c r="T160">
        <v>1082.28</v>
      </c>
    </row>
    <row r="161" spans="4:20" x14ac:dyDescent="0.3">
      <c r="D161" t="s">
        <v>250</v>
      </c>
      <c r="E161" t="s">
        <v>233</v>
      </c>
      <c r="F161" t="s">
        <v>246</v>
      </c>
      <c r="G161">
        <v>6391</v>
      </c>
      <c r="H161">
        <v>48</v>
      </c>
      <c r="I161">
        <v>12.37</v>
      </c>
      <c r="J161">
        <v>593.76</v>
      </c>
      <c r="M161" t="str">
        <v>134</v>
      </c>
      <c r="N161" t="str">
        <v>Ches Bonnell</v>
      </c>
      <c r="O161" t="str">
        <v>New Zealand</v>
      </c>
      <c r="P161" t="str">
        <v>Peanut Butter Cubes</v>
      </c>
      <c r="Q161">
        <v>6391</v>
      </c>
      <c r="R161">
        <v>48</v>
      </c>
      <c r="S161">
        <v>12.37</v>
      </c>
      <c r="T161">
        <v>593.76</v>
      </c>
    </row>
    <row r="162" spans="4:20" x14ac:dyDescent="0.3">
      <c r="D162" t="s">
        <v>252</v>
      </c>
      <c r="E162" t="s">
        <v>233</v>
      </c>
      <c r="F162" t="s">
        <v>249</v>
      </c>
      <c r="G162">
        <v>518</v>
      </c>
      <c r="H162">
        <v>75</v>
      </c>
      <c r="I162">
        <v>9.77</v>
      </c>
      <c r="J162">
        <v>732.75</v>
      </c>
      <c r="M162" t="str">
        <v>135</v>
      </c>
      <c r="N162" t="str">
        <v>Gigi Bohling</v>
      </c>
      <c r="O162" t="str">
        <v>New Zealand</v>
      </c>
      <c r="P162" t="str">
        <v>After Nines</v>
      </c>
      <c r="Q162">
        <v>518</v>
      </c>
      <c r="R162">
        <v>75</v>
      </c>
      <c r="S162">
        <v>9.77</v>
      </c>
      <c r="T162">
        <v>732.75</v>
      </c>
    </row>
    <row r="163" spans="4:20" x14ac:dyDescent="0.3">
      <c r="D163" t="s">
        <v>250</v>
      </c>
      <c r="E163" t="s">
        <v>247</v>
      </c>
      <c r="F163" t="s">
        <v>267</v>
      </c>
      <c r="G163">
        <v>5677</v>
      </c>
      <c r="H163">
        <v>258</v>
      </c>
      <c r="I163">
        <v>10.38</v>
      </c>
      <c r="J163">
        <v>2678.04</v>
      </c>
      <c r="M163" t="str">
        <v>136</v>
      </c>
      <c r="N163" t="str">
        <v>Ches Bonnell</v>
      </c>
      <c r="O163" t="str">
        <v>Australia</v>
      </c>
      <c r="P163" t="str">
        <v>Caramel Stuffed Bars</v>
      </c>
      <c r="Q163">
        <v>5677</v>
      </c>
      <c r="R163">
        <v>258</v>
      </c>
      <c r="S163">
        <v>10.38</v>
      </c>
      <c r="T163">
        <v>2678.04</v>
      </c>
    </row>
    <row r="164" spans="4:20" x14ac:dyDescent="0.3">
      <c r="D164" t="s">
        <v>243</v>
      </c>
      <c r="E164" t="s">
        <v>244</v>
      </c>
      <c r="F164" t="s">
        <v>255</v>
      </c>
      <c r="G164">
        <v>6048</v>
      </c>
      <c r="H164">
        <v>27</v>
      </c>
      <c r="I164">
        <v>3.11</v>
      </c>
      <c r="J164">
        <v>83.97</v>
      </c>
      <c r="M164" t="str">
        <v>137</v>
      </c>
      <c r="N164" t="str">
        <v>Curtice Advani</v>
      </c>
      <c r="O164" t="str">
        <v>UK</v>
      </c>
      <c r="P164" t="str">
        <v>Eclairs</v>
      </c>
      <c r="Q164">
        <v>6048</v>
      </c>
      <c r="R164">
        <v>27</v>
      </c>
      <c r="S164">
        <v>3.11</v>
      </c>
      <c r="T164">
        <v>83.97</v>
      </c>
    </row>
    <row r="165" spans="4:20" x14ac:dyDescent="0.3">
      <c r="D165" t="s">
        <v>235</v>
      </c>
      <c r="E165" t="s">
        <v>247</v>
      </c>
      <c r="F165" t="s">
        <v>237</v>
      </c>
      <c r="G165">
        <v>3752</v>
      </c>
      <c r="H165">
        <v>213</v>
      </c>
      <c r="I165">
        <v>8.65</v>
      </c>
      <c r="J165">
        <v>1842.45</v>
      </c>
      <c r="M165" t="str">
        <v>138</v>
      </c>
      <c r="N165" t="str">
        <v>Brien Boise</v>
      </c>
      <c r="O165" t="str">
        <v>Australia</v>
      </c>
      <c r="P165" t="str">
        <v>Choco Coated Almonds</v>
      </c>
      <c r="Q165">
        <v>3752</v>
      </c>
      <c r="R165">
        <v>213</v>
      </c>
      <c r="S165">
        <v>8.65</v>
      </c>
      <c r="T165">
        <v>1842.45</v>
      </c>
    </row>
    <row r="166" spans="4:20" x14ac:dyDescent="0.3">
      <c r="D166" t="s">
        <v>252</v>
      </c>
      <c r="E166" t="s">
        <v>236</v>
      </c>
      <c r="F166" t="s">
        <v>259</v>
      </c>
      <c r="G166">
        <v>4480</v>
      </c>
      <c r="H166">
        <v>357</v>
      </c>
      <c r="I166">
        <v>7.16</v>
      </c>
      <c r="J166">
        <v>2556.12</v>
      </c>
      <c r="M166" t="str">
        <v>139</v>
      </c>
      <c r="N166" t="str">
        <v>Gigi Bohling</v>
      </c>
      <c r="O166" t="str">
        <v>USA</v>
      </c>
      <c r="P166" t="str">
        <v>Manuka Honey Choco</v>
      </c>
      <c r="Q166">
        <v>4480</v>
      </c>
      <c r="R166">
        <v>357</v>
      </c>
      <c r="S166">
        <v>7.16</v>
      </c>
      <c r="T166">
        <v>2556.12</v>
      </c>
    </row>
    <row r="167" spans="4:20" x14ac:dyDescent="0.3">
      <c r="D167" t="s">
        <v>238</v>
      </c>
      <c r="E167" t="s">
        <v>233</v>
      </c>
      <c r="F167" t="s">
        <v>239</v>
      </c>
      <c r="G167">
        <v>259</v>
      </c>
      <c r="H167">
        <v>207</v>
      </c>
      <c r="I167">
        <v>11.88</v>
      </c>
      <c r="J167">
        <v>2459.16</v>
      </c>
      <c r="M167" t="str">
        <v>140</v>
      </c>
      <c r="N167" t="str">
        <v>Husein Augar</v>
      </c>
      <c r="O167" t="str">
        <v>New Zealand</v>
      </c>
      <c r="P167" t="str">
        <v>Almond Choco</v>
      </c>
      <c r="Q167">
        <v>259</v>
      </c>
      <c r="R167">
        <v>207</v>
      </c>
      <c r="S167">
        <v>11.88</v>
      </c>
      <c r="T167">
        <v>2459.16</v>
      </c>
    </row>
    <row r="168" spans="4:20" x14ac:dyDescent="0.3">
      <c r="D168" t="s">
        <v>235</v>
      </c>
      <c r="E168" t="s">
        <v>233</v>
      </c>
      <c r="F168" t="s">
        <v>234</v>
      </c>
      <c r="G168">
        <v>42</v>
      </c>
      <c r="H168">
        <v>150</v>
      </c>
      <c r="I168">
        <v>14.49</v>
      </c>
      <c r="J168">
        <v>2173.5</v>
      </c>
      <c r="M168" t="str">
        <v>141</v>
      </c>
      <c r="N168" t="str">
        <v>Brien Boise</v>
      </c>
      <c r="O168" t="str">
        <v>New Zealand</v>
      </c>
      <c r="P168" t="str">
        <v>70% Dark Bites</v>
      </c>
      <c r="Q168">
        <v>42</v>
      </c>
      <c r="R168">
        <v>150</v>
      </c>
      <c r="S168">
        <v>14.49</v>
      </c>
      <c r="T168">
        <v>2173.5</v>
      </c>
    </row>
    <row r="169" spans="4:20" x14ac:dyDescent="0.3">
      <c r="D169" t="s">
        <v>240</v>
      </c>
      <c r="E169" t="s">
        <v>241</v>
      </c>
      <c r="F169" t="s">
        <v>269</v>
      </c>
      <c r="G169">
        <v>98</v>
      </c>
      <c r="H169">
        <v>204</v>
      </c>
      <c r="I169">
        <v>5.6</v>
      </c>
      <c r="J169">
        <v>1142.4000000000001</v>
      </c>
      <c r="M169" t="str">
        <v>142</v>
      </c>
      <c r="N169" t="str">
        <v>Carla Molina</v>
      </c>
      <c r="O169" t="str">
        <v>Canada</v>
      </c>
      <c r="P169" t="str">
        <v>Baker's Choco Chips</v>
      </c>
      <c r="Q169">
        <v>98</v>
      </c>
      <c r="R169">
        <v>204</v>
      </c>
      <c r="S169">
        <v>5.6</v>
      </c>
      <c r="T169">
        <v>1142.4000000000001</v>
      </c>
    </row>
    <row r="170" spans="4:20" x14ac:dyDescent="0.3">
      <c r="D170" t="s">
        <v>250</v>
      </c>
      <c r="E170" t="s">
        <v>236</v>
      </c>
      <c r="F170" t="s">
        <v>266</v>
      </c>
      <c r="G170">
        <v>2478</v>
      </c>
      <c r="H170">
        <v>21</v>
      </c>
      <c r="I170">
        <v>16.73</v>
      </c>
      <c r="J170">
        <v>351.33</v>
      </c>
      <c r="M170" t="str">
        <v>143</v>
      </c>
      <c r="N170" t="str">
        <v>Ches Bonnell</v>
      </c>
      <c r="O170" t="str">
        <v>USA</v>
      </c>
      <c r="P170" t="str">
        <v>Organic Choco Syrup</v>
      </c>
      <c r="Q170">
        <v>2478</v>
      </c>
      <c r="R170">
        <v>21</v>
      </c>
      <c r="S170">
        <v>16.73</v>
      </c>
      <c r="T170">
        <v>351.33</v>
      </c>
    </row>
    <row r="171" spans="4:20" x14ac:dyDescent="0.3">
      <c r="D171" t="s">
        <v>240</v>
      </c>
      <c r="E171" t="s">
        <v>257</v>
      </c>
      <c r="F171" t="s">
        <v>246</v>
      </c>
      <c r="G171">
        <v>7847</v>
      </c>
      <c r="H171">
        <v>174</v>
      </c>
      <c r="I171">
        <v>12.37</v>
      </c>
      <c r="J171">
        <v>2152.38</v>
      </c>
      <c r="M171" t="str">
        <v>144</v>
      </c>
      <c r="N171" t="str">
        <v>Carla Molina</v>
      </c>
      <c r="O171" t="str">
        <v>India</v>
      </c>
      <c r="P171" t="str">
        <v>Peanut Butter Cubes</v>
      </c>
      <c r="Q171">
        <v>7847</v>
      </c>
      <c r="R171">
        <v>174</v>
      </c>
      <c r="S171">
        <v>12.37</v>
      </c>
      <c r="T171">
        <v>2152.38</v>
      </c>
    </row>
    <row r="172" spans="4:20" x14ac:dyDescent="0.3">
      <c r="D172" t="s">
        <v>253</v>
      </c>
      <c r="E172" t="s">
        <v>233</v>
      </c>
      <c r="F172" t="s">
        <v>255</v>
      </c>
      <c r="G172">
        <v>9926</v>
      </c>
      <c r="H172">
        <v>201</v>
      </c>
      <c r="I172">
        <v>3.11</v>
      </c>
      <c r="J172">
        <v>625.11</v>
      </c>
      <c r="M172" t="str">
        <v>145</v>
      </c>
      <c r="N172" t="str">
        <v>Barr Faughny</v>
      </c>
      <c r="O172" t="str">
        <v>New Zealand</v>
      </c>
      <c r="P172" t="str">
        <v>Eclairs</v>
      </c>
      <c r="Q172">
        <v>9926</v>
      </c>
      <c r="R172">
        <v>201</v>
      </c>
      <c r="S172">
        <v>3.11</v>
      </c>
      <c r="T172">
        <v>625.11</v>
      </c>
    </row>
    <row r="173" spans="4:20" x14ac:dyDescent="0.3">
      <c r="D173" t="s">
        <v>235</v>
      </c>
      <c r="E173" t="s">
        <v>247</v>
      </c>
      <c r="F173" t="s">
        <v>258</v>
      </c>
      <c r="G173">
        <v>819</v>
      </c>
      <c r="H173">
        <v>510</v>
      </c>
      <c r="I173">
        <v>9.33</v>
      </c>
      <c r="J173">
        <v>4758.3</v>
      </c>
      <c r="M173" t="str">
        <v>146</v>
      </c>
      <c r="N173" t="str">
        <v>Brien Boise</v>
      </c>
      <c r="O173" t="str">
        <v>Australia</v>
      </c>
      <c r="P173" t="str">
        <v>Milk Bars</v>
      </c>
      <c r="Q173">
        <v>819</v>
      </c>
      <c r="R173">
        <v>510</v>
      </c>
      <c r="S173">
        <v>9.33</v>
      </c>
      <c r="T173">
        <v>4758.3</v>
      </c>
    </row>
    <row r="174" spans="4:20" x14ac:dyDescent="0.3">
      <c r="D174" t="s">
        <v>243</v>
      </c>
      <c r="E174" t="s">
        <v>244</v>
      </c>
      <c r="F174" t="s">
        <v>259</v>
      </c>
      <c r="G174">
        <v>3052</v>
      </c>
      <c r="H174">
        <v>378</v>
      </c>
      <c r="I174">
        <v>7.16</v>
      </c>
      <c r="J174">
        <v>2706.48</v>
      </c>
      <c r="M174" t="str">
        <v>147</v>
      </c>
      <c r="N174" t="str">
        <v>Curtice Advani</v>
      </c>
      <c r="O174" t="str">
        <v>UK</v>
      </c>
      <c r="P174" t="str">
        <v>Manuka Honey Choco</v>
      </c>
      <c r="Q174">
        <v>3052</v>
      </c>
      <c r="R174">
        <v>378</v>
      </c>
      <c r="S174">
        <v>7.16</v>
      </c>
      <c r="T174">
        <v>2706.48</v>
      </c>
    </row>
    <row r="175" spans="4:20" x14ac:dyDescent="0.3">
      <c r="D175" t="s">
        <v>238</v>
      </c>
      <c r="E175" t="s">
        <v>257</v>
      </c>
      <c r="F175" t="s">
        <v>268</v>
      </c>
      <c r="G175">
        <v>6832</v>
      </c>
      <c r="H175">
        <v>27</v>
      </c>
      <c r="I175">
        <v>9</v>
      </c>
      <c r="J175">
        <v>243</v>
      </c>
      <c r="M175" t="str">
        <v>148</v>
      </c>
      <c r="N175" t="str">
        <v>Husein Augar</v>
      </c>
      <c r="O175" t="str">
        <v>India</v>
      </c>
      <c r="P175" t="str">
        <v>Spicy Special Slims</v>
      </c>
      <c r="Q175">
        <v>6832</v>
      </c>
      <c r="R175">
        <v>27</v>
      </c>
      <c r="S175">
        <v>9</v>
      </c>
      <c r="T175">
        <v>243</v>
      </c>
    </row>
    <row r="176" spans="4:20" x14ac:dyDescent="0.3">
      <c r="D176" t="s">
        <v>253</v>
      </c>
      <c r="E176" t="s">
        <v>244</v>
      </c>
      <c r="F176" t="s">
        <v>256</v>
      </c>
      <c r="G176">
        <v>2016</v>
      </c>
      <c r="H176">
        <v>117</v>
      </c>
      <c r="I176">
        <v>8.7899999999999991</v>
      </c>
      <c r="J176">
        <v>1028.43</v>
      </c>
      <c r="M176" t="str">
        <v>149</v>
      </c>
      <c r="N176" t="str">
        <v>Barr Faughny</v>
      </c>
      <c r="O176" t="str">
        <v>UK</v>
      </c>
      <c r="P176" t="str">
        <v>Mint Chip Choco</v>
      </c>
      <c r="Q176">
        <v>2016</v>
      </c>
      <c r="R176">
        <v>117</v>
      </c>
      <c r="S176">
        <v>8.7899999999999991</v>
      </c>
      <c r="T176">
        <v>1028.43</v>
      </c>
    </row>
    <row r="177" spans="4:20" x14ac:dyDescent="0.3">
      <c r="D177" t="s">
        <v>243</v>
      </c>
      <c r="E177" t="s">
        <v>247</v>
      </c>
      <c r="F177" t="s">
        <v>268</v>
      </c>
      <c r="G177">
        <v>7322</v>
      </c>
      <c r="H177">
        <v>36</v>
      </c>
      <c r="I177">
        <v>9</v>
      </c>
      <c r="J177">
        <v>324</v>
      </c>
      <c r="M177" t="str">
        <v>150</v>
      </c>
      <c r="N177" t="str">
        <v>Curtice Advani</v>
      </c>
      <c r="O177" t="str">
        <v>Australia</v>
      </c>
      <c r="P177" t="str">
        <v>Spicy Special Slims</v>
      </c>
      <c r="Q177">
        <v>7322</v>
      </c>
      <c r="R177">
        <v>36</v>
      </c>
      <c r="S177">
        <v>9</v>
      </c>
      <c r="T177">
        <v>324</v>
      </c>
    </row>
    <row r="178" spans="4:20" x14ac:dyDescent="0.3">
      <c r="D178" t="s">
        <v>235</v>
      </c>
      <c r="E178" t="s">
        <v>236</v>
      </c>
      <c r="F178" t="s">
        <v>246</v>
      </c>
      <c r="G178">
        <v>357</v>
      </c>
      <c r="H178">
        <v>126</v>
      </c>
      <c r="I178">
        <v>12.37</v>
      </c>
      <c r="J178">
        <v>1558.62</v>
      </c>
      <c r="M178" t="str">
        <v>151</v>
      </c>
      <c r="N178" t="str">
        <v>Brien Boise</v>
      </c>
      <c r="O178" t="str">
        <v>USA</v>
      </c>
      <c r="P178" t="str">
        <v>Peanut Butter Cubes</v>
      </c>
      <c r="Q178">
        <v>357</v>
      </c>
      <c r="R178">
        <v>126</v>
      </c>
      <c r="S178">
        <v>12.37</v>
      </c>
      <c r="T178">
        <v>1558.62</v>
      </c>
    </row>
    <row r="179" spans="4:20" x14ac:dyDescent="0.3">
      <c r="D179" t="s">
        <v>238</v>
      </c>
      <c r="E179" t="s">
        <v>244</v>
      </c>
      <c r="F179" t="s">
        <v>245</v>
      </c>
      <c r="G179">
        <v>3192</v>
      </c>
      <c r="H179">
        <v>72</v>
      </c>
      <c r="I179">
        <v>13.15</v>
      </c>
      <c r="J179">
        <v>946.8</v>
      </c>
      <c r="M179" t="str">
        <v>152</v>
      </c>
      <c r="N179" t="str">
        <v>Husein Augar</v>
      </c>
      <c r="O179" t="str">
        <v>UK</v>
      </c>
      <c r="P179" t="str">
        <v>White Choc</v>
      </c>
      <c r="Q179">
        <v>3192</v>
      </c>
      <c r="R179">
        <v>72</v>
      </c>
      <c r="S179">
        <v>13.15</v>
      </c>
      <c r="T179">
        <v>946.8</v>
      </c>
    </row>
    <row r="180" spans="4:20" x14ac:dyDescent="0.3">
      <c r="D180" t="s">
        <v>250</v>
      </c>
      <c r="E180" t="s">
        <v>241</v>
      </c>
      <c r="F180" t="s">
        <v>249</v>
      </c>
      <c r="G180">
        <v>8435</v>
      </c>
      <c r="H180">
        <v>42</v>
      </c>
      <c r="I180">
        <v>9.77</v>
      </c>
      <c r="J180">
        <v>410.34</v>
      </c>
      <c r="M180" t="str">
        <v>153</v>
      </c>
      <c r="N180" t="str">
        <v>Ches Bonnell</v>
      </c>
      <c r="O180" t="str">
        <v>Canada</v>
      </c>
      <c r="P180" t="str">
        <v>After Nines</v>
      </c>
      <c r="Q180">
        <v>8435</v>
      </c>
      <c r="R180">
        <v>42</v>
      </c>
      <c r="S180">
        <v>9.77</v>
      </c>
      <c r="T180">
        <v>410.34</v>
      </c>
    </row>
    <row r="181" spans="4:20" x14ac:dyDescent="0.3">
      <c r="D181" t="s">
        <v>232</v>
      </c>
      <c r="E181" t="s">
        <v>244</v>
      </c>
      <c r="F181" t="s">
        <v>259</v>
      </c>
      <c r="G181">
        <v>0</v>
      </c>
      <c r="H181">
        <v>135</v>
      </c>
      <c r="I181">
        <v>7.16</v>
      </c>
      <c r="J181">
        <v>966.6</v>
      </c>
      <c r="M181" t="str">
        <v>154</v>
      </c>
      <c r="N181" t="str">
        <v>Ram Mahesh</v>
      </c>
      <c r="O181" t="str">
        <v>UK</v>
      </c>
      <c r="P181" t="str">
        <v>Manuka Honey Choco</v>
      </c>
      <c r="Q181">
        <v>0</v>
      </c>
      <c r="R181">
        <v>135</v>
      </c>
      <c r="S181">
        <v>7.16</v>
      </c>
      <c r="T181">
        <v>966.6</v>
      </c>
    </row>
    <row r="182" spans="4:20" x14ac:dyDescent="0.3">
      <c r="D182" t="s">
        <v>250</v>
      </c>
      <c r="E182" t="s">
        <v>257</v>
      </c>
      <c r="F182" t="s">
        <v>265</v>
      </c>
      <c r="G182">
        <v>8862</v>
      </c>
      <c r="H182">
        <v>189</v>
      </c>
      <c r="I182">
        <v>4.97</v>
      </c>
      <c r="J182">
        <v>939.33</v>
      </c>
      <c r="M182" t="str">
        <v>155</v>
      </c>
      <c r="N182" t="str">
        <v>Ches Bonnell</v>
      </c>
      <c r="O182" t="str">
        <v>India</v>
      </c>
      <c r="P182" t="str">
        <v>85% Dark Bars</v>
      </c>
      <c r="Q182">
        <v>8862</v>
      </c>
      <c r="R182">
        <v>189</v>
      </c>
      <c r="S182">
        <v>4.97</v>
      </c>
      <c r="T182">
        <v>939.33</v>
      </c>
    </row>
    <row r="183" spans="4:20" x14ac:dyDescent="0.3">
      <c r="D183" t="s">
        <v>243</v>
      </c>
      <c r="E183" t="s">
        <v>233</v>
      </c>
      <c r="F183" t="s">
        <v>267</v>
      </c>
      <c r="G183">
        <v>3556</v>
      </c>
      <c r="H183">
        <v>459</v>
      </c>
      <c r="I183">
        <v>10.38</v>
      </c>
      <c r="J183">
        <v>4764.42</v>
      </c>
      <c r="M183" t="str">
        <v>156</v>
      </c>
      <c r="N183" t="str">
        <v>Curtice Advani</v>
      </c>
      <c r="O183" t="str">
        <v>New Zealand</v>
      </c>
      <c r="P183" t="str">
        <v>Caramel Stuffed Bars</v>
      </c>
      <c r="Q183">
        <v>3556</v>
      </c>
      <c r="R183">
        <v>459</v>
      </c>
      <c r="S183">
        <v>10.38</v>
      </c>
      <c r="T183">
        <v>4764.42</v>
      </c>
    </row>
    <row r="184" spans="4:20" x14ac:dyDescent="0.3">
      <c r="D184" t="s">
        <v>252</v>
      </c>
      <c r="E184" t="s">
        <v>257</v>
      </c>
      <c r="F184" t="s">
        <v>264</v>
      </c>
      <c r="G184">
        <v>7280</v>
      </c>
      <c r="H184">
        <v>201</v>
      </c>
      <c r="I184">
        <v>11.73</v>
      </c>
      <c r="J184">
        <v>2357.73</v>
      </c>
      <c r="M184" t="str">
        <v>157</v>
      </c>
      <c r="N184" t="str">
        <v>Gigi Bohling</v>
      </c>
      <c r="O184" t="str">
        <v>India</v>
      </c>
      <c r="P184" t="str">
        <v>Raspberry Choco</v>
      </c>
      <c r="Q184">
        <v>7280</v>
      </c>
      <c r="R184">
        <v>201</v>
      </c>
      <c r="S184">
        <v>11.73</v>
      </c>
      <c r="T184">
        <v>2357.73</v>
      </c>
    </row>
    <row r="185" spans="4:20" x14ac:dyDescent="0.3">
      <c r="D185" t="s">
        <v>243</v>
      </c>
      <c r="E185" t="s">
        <v>257</v>
      </c>
      <c r="F185" t="s">
        <v>234</v>
      </c>
      <c r="G185">
        <v>3402</v>
      </c>
      <c r="H185">
        <v>366</v>
      </c>
      <c r="I185">
        <v>14.49</v>
      </c>
      <c r="J185">
        <v>5303.34</v>
      </c>
      <c r="M185" t="str">
        <v>158</v>
      </c>
      <c r="N185" t="str">
        <v>Curtice Advani</v>
      </c>
      <c r="O185" t="str">
        <v>India</v>
      </c>
      <c r="P185" t="str">
        <v>70% Dark Bites</v>
      </c>
      <c r="Q185">
        <v>3402</v>
      </c>
      <c r="R185">
        <v>366</v>
      </c>
      <c r="S185">
        <v>14.49</v>
      </c>
      <c r="T185">
        <v>5303.34</v>
      </c>
    </row>
    <row r="186" spans="4:20" x14ac:dyDescent="0.3">
      <c r="D186" t="s">
        <v>254</v>
      </c>
      <c r="E186" t="s">
        <v>233</v>
      </c>
      <c r="F186" t="s">
        <v>259</v>
      </c>
      <c r="G186">
        <v>4592</v>
      </c>
      <c r="H186">
        <v>324</v>
      </c>
      <c r="I186">
        <v>7.16</v>
      </c>
      <c r="J186">
        <v>2319.84</v>
      </c>
      <c r="M186" t="str">
        <v>159</v>
      </c>
      <c r="N186" t="str">
        <v>Gunar Cockshoot</v>
      </c>
      <c r="O186" t="str">
        <v>New Zealand</v>
      </c>
      <c r="P186" t="str">
        <v>Manuka Honey Choco</v>
      </c>
      <c r="Q186">
        <v>4592</v>
      </c>
      <c r="R186">
        <v>324</v>
      </c>
      <c r="S186">
        <v>7.16</v>
      </c>
      <c r="T186">
        <v>2319.84</v>
      </c>
    </row>
    <row r="187" spans="4:20" x14ac:dyDescent="0.3">
      <c r="D187" t="s">
        <v>238</v>
      </c>
      <c r="E187" t="s">
        <v>236</v>
      </c>
      <c r="F187" t="s">
        <v>264</v>
      </c>
      <c r="G187">
        <v>7833</v>
      </c>
      <c r="H187">
        <v>243</v>
      </c>
      <c r="I187">
        <v>11.73</v>
      </c>
      <c r="J187">
        <v>2850.39</v>
      </c>
      <c r="M187" t="str">
        <v>160</v>
      </c>
      <c r="N187" t="str">
        <v>Husein Augar</v>
      </c>
      <c r="O187" t="str">
        <v>USA</v>
      </c>
      <c r="P187" t="str">
        <v>Raspberry Choco</v>
      </c>
      <c r="Q187">
        <v>7833</v>
      </c>
      <c r="R187">
        <v>243</v>
      </c>
      <c r="S187">
        <v>11.73</v>
      </c>
      <c r="T187">
        <v>2850.39</v>
      </c>
    </row>
    <row r="188" spans="4:20" x14ac:dyDescent="0.3">
      <c r="D188" t="s">
        <v>253</v>
      </c>
      <c r="E188" t="s">
        <v>244</v>
      </c>
      <c r="F188" t="s">
        <v>268</v>
      </c>
      <c r="G188">
        <v>7651</v>
      </c>
      <c r="H188">
        <v>213</v>
      </c>
      <c r="I188">
        <v>9</v>
      </c>
      <c r="J188">
        <v>1917</v>
      </c>
      <c r="M188" t="str">
        <v>161</v>
      </c>
      <c r="N188" t="str">
        <v>Barr Faughny</v>
      </c>
      <c r="O188" t="str">
        <v>UK</v>
      </c>
      <c r="P188" t="str">
        <v>Spicy Special Slims</v>
      </c>
      <c r="Q188">
        <v>7651</v>
      </c>
      <c r="R188">
        <v>213</v>
      </c>
      <c r="S188">
        <v>9</v>
      </c>
      <c r="T188">
        <v>1917</v>
      </c>
    </row>
    <row r="189" spans="4:20" x14ac:dyDescent="0.3">
      <c r="D189" t="s">
        <v>232</v>
      </c>
      <c r="E189" t="s">
        <v>236</v>
      </c>
      <c r="F189" t="s">
        <v>234</v>
      </c>
      <c r="G189">
        <v>2275</v>
      </c>
      <c r="H189">
        <v>447</v>
      </c>
      <c r="I189">
        <v>14.49</v>
      </c>
      <c r="J189">
        <v>6477.03</v>
      </c>
      <c r="M189" t="str">
        <v>162</v>
      </c>
      <c r="N189" t="str">
        <v>Ram Mahesh</v>
      </c>
      <c r="O189" t="str">
        <v>USA</v>
      </c>
      <c r="P189" t="str">
        <v>70% Dark Bites</v>
      </c>
      <c r="Q189">
        <v>2275</v>
      </c>
      <c r="R189">
        <v>447</v>
      </c>
      <c r="S189">
        <v>14.49</v>
      </c>
      <c r="T189">
        <v>6477.03</v>
      </c>
    </row>
    <row r="190" spans="4:20" x14ac:dyDescent="0.3">
      <c r="D190" t="s">
        <v>232</v>
      </c>
      <c r="E190" t="s">
        <v>247</v>
      </c>
      <c r="F190" t="s">
        <v>258</v>
      </c>
      <c r="G190">
        <v>5670</v>
      </c>
      <c r="H190">
        <v>297</v>
      </c>
      <c r="I190">
        <v>9.33</v>
      </c>
      <c r="J190">
        <v>2771.01</v>
      </c>
      <c r="M190" t="str">
        <v>163</v>
      </c>
      <c r="N190" t="str">
        <v>Ram Mahesh</v>
      </c>
      <c r="O190" t="str">
        <v>Australia</v>
      </c>
      <c r="P190" t="str">
        <v>Milk Bars</v>
      </c>
      <c r="Q190">
        <v>5670</v>
      </c>
      <c r="R190">
        <v>297</v>
      </c>
      <c r="S190">
        <v>9.33</v>
      </c>
      <c r="T190">
        <v>2771.01</v>
      </c>
    </row>
    <row r="191" spans="4:20" x14ac:dyDescent="0.3">
      <c r="D191" t="s">
        <v>250</v>
      </c>
      <c r="E191" t="s">
        <v>236</v>
      </c>
      <c r="F191" t="s">
        <v>256</v>
      </c>
      <c r="G191">
        <v>2135</v>
      </c>
      <c r="H191">
        <v>27</v>
      </c>
      <c r="I191">
        <v>8.7899999999999991</v>
      </c>
      <c r="J191">
        <v>237.33</v>
      </c>
      <c r="M191" t="str">
        <v>164</v>
      </c>
      <c r="N191" t="str">
        <v>Ches Bonnell</v>
      </c>
      <c r="O191" t="str">
        <v>USA</v>
      </c>
      <c r="P191" t="str">
        <v>Mint Chip Choco</v>
      </c>
      <c r="Q191">
        <v>2135</v>
      </c>
      <c r="R191">
        <v>27</v>
      </c>
      <c r="S191">
        <v>8.7899999999999991</v>
      </c>
      <c r="T191">
        <v>237.33</v>
      </c>
    </row>
    <row r="192" spans="4:20" x14ac:dyDescent="0.3">
      <c r="D192" t="s">
        <v>232</v>
      </c>
      <c r="E192" t="s">
        <v>257</v>
      </c>
      <c r="F192" t="s">
        <v>261</v>
      </c>
      <c r="G192">
        <v>2779</v>
      </c>
      <c r="H192">
        <v>75</v>
      </c>
      <c r="I192">
        <v>6.49</v>
      </c>
      <c r="J192">
        <v>486.75</v>
      </c>
      <c r="M192" t="str">
        <v>165</v>
      </c>
      <c r="N192" t="str">
        <v>Ram Mahesh</v>
      </c>
      <c r="O192" t="str">
        <v>India</v>
      </c>
      <c r="P192" t="str">
        <v>Fruit &amp; Nut Bars</v>
      </c>
      <c r="Q192">
        <v>2779</v>
      </c>
      <c r="R192">
        <v>75</v>
      </c>
      <c r="S192">
        <v>6.49</v>
      </c>
      <c r="T192">
        <v>486.75</v>
      </c>
    </row>
    <row r="193" spans="4:20" x14ac:dyDescent="0.3">
      <c r="D193" t="s">
        <v>262</v>
      </c>
      <c r="E193" t="s">
        <v>244</v>
      </c>
      <c r="F193" t="s">
        <v>246</v>
      </c>
      <c r="G193">
        <v>12950</v>
      </c>
      <c r="H193">
        <v>30</v>
      </c>
      <c r="I193">
        <v>12.37</v>
      </c>
      <c r="J193">
        <v>371.1</v>
      </c>
      <c r="M193" t="str">
        <v>166</v>
      </c>
      <c r="N193" t="str">
        <v>Oby Sorrel</v>
      </c>
      <c r="O193" t="str">
        <v>UK</v>
      </c>
      <c r="P193" t="str">
        <v>Peanut Butter Cubes</v>
      </c>
      <c r="Q193">
        <v>12950</v>
      </c>
      <c r="R193">
        <v>30</v>
      </c>
      <c r="S193">
        <v>12.37</v>
      </c>
      <c r="T193">
        <v>371.1</v>
      </c>
    </row>
    <row r="194" spans="4:20" x14ac:dyDescent="0.3">
      <c r="D194" t="s">
        <v>250</v>
      </c>
      <c r="E194" t="s">
        <v>241</v>
      </c>
      <c r="F194" t="s">
        <v>242</v>
      </c>
      <c r="G194">
        <v>2646</v>
      </c>
      <c r="H194">
        <v>177</v>
      </c>
      <c r="I194">
        <v>6.47</v>
      </c>
      <c r="J194">
        <v>1145.19</v>
      </c>
      <c r="M194" t="str">
        <v>167</v>
      </c>
      <c r="N194" t="str">
        <v>Ches Bonnell</v>
      </c>
      <c r="O194" t="str">
        <v>Canada</v>
      </c>
      <c r="P194" t="str">
        <v>Drinking Coco</v>
      </c>
      <c r="Q194">
        <v>2646</v>
      </c>
      <c r="R194">
        <v>177</v>
      </c>
      <c r="S194">
        <v>6.47</v>
      </c>
      <c r="T194">
        <v>1145.19</v>
      </c>
    </row>
    <row r="195" spans="4:20" x14ac:dyDescent="0.3">
      <c r="D195" t="s">
        <v>232</v>
      </c>
      <c r="E195" t="s">
        <v>257</v>
      </c>
      <c r="F195" t="s">
        <v>246</v>
      </c>
      <c r="G195">
        <v>3794</v>
      </c>
      <c r="H195">
        <v>159</v>
      </c>
      <c r="I195">
        <v>12.37</v>
      </c>
      <c r="J195">
        <v>1966.83</v>
      </c>
      <c r="M195" t="str">
        <v>168</v>
      </c>
      <c r="N195" t="str">
        <v>Ram Mahesh</v>
      </c>
      <c r="O195" t="str">
        <v>India</v>
      </c>
      <c r="P195" t="str">
        <v>Peanut Butter Cubes</v>
      </c>
      <c r="Q195">
        <v>3794</v>
      </c>
      <c r="R195">
        <v>159</v>
      </c>
      <c r="S195">
        <v>12.37</v>
      </c>
      <c r="T195">
        <v>1966.83</v>
      </c>
    </row>
    <row r="196" spans="4:20" x14ac:dyDescent="0.3">
      <c r="D196" t="s">
        <v>254</v>
      </c>
      <c r="E196" t="s">
        <v>236</v>
      </c>
      <c r="F196" t="s">
        <v>246</v>
      </c>
      <c r="G196">
        <v>819</v>
      </c>
      <c r="H196">
        <v>306</v>
      </c>
      <c r="I196">
        <v>12.37</v>
      </c>
      <c r="J196">
        <v>3785.22</v>
      </c>
      <c r="M196" t="str">
        <v>169</v>
      </c>
      <c r="N196" t="str">
        <v>Gunar Cockshoot</v>
      </c>
      <c r="O196" t="str">
        <v>USA</v>
      </c>
      <c r="P196" t="str">
        <v>Peanut Butter Cubes</v>
      </c>
      <c r="Q196">
        <v>819</v>
      </c>
      <c r="R196">
        <v>306</v>
      </c>
      <c r="S196">
        <v>12.37</v>
      </c>
      <c r="T196">
        <v>3785.22</v>
      </c>
    </row>
    <row r="197" spans="4:20" x14ac:dyDescent="0.3">
      <c r="D197" t="s">
        <v>254</v>
      </c>
      <c r="E197" t="s">
        <v>257</v>
      </c>
      <c r="F197" t="s">
        <v>260</v>
      </c>
      <c r="G197">
        <v>2583</v>
      </c>
      <c r="H197">
        <v>18</v>
      </c>
      <c r="I197">
        <v>10.62</v>
      </c>
      <c r="J197">
        <v>191.16</v>
      </c>
      <c r="M197" t="str">
        <v>170</v>
      </c>
      <c r="N197" t="str">
        <v>Gunar Cockshoot</v>
      </c>
      <c r="O197" t="str">
        <v>India</v>
      </c>
      <c r="P197" t="str">
        <v>Orange Choco</v>
      </c>
      <c r="Q197">
        <v>2583</v>
      </c>
      <c r="R197">
        <v>18</v>
      </c>
      <c r="S197">
        <v>10.62</v>
      </c>
      <c r="T197">
        <v>191.16</v>
      </c>
    </row>
    <row r="198" spans="4:20" x14ac:dyDescent="0.3">
      <c r="D198" t="s">
        <v>250</v>
      </c>
      <c r="E198" t="s">
        <v>236</v>
      </c>
      <c r="F198" t="s">
        <v>263</v>
      </c>
      <c r="G198">
        <v>4585</v>
      </c>
      <c r="H198">
        <v>240</v>
      </c>
      <c r="I198">
        <v>7.64</v>
      </c>
      <c r="J198">
        <v>1833.6</v>
      </c>
      <c r="M198" t="str">
        <v>171</v>
      </c>
      <c r="N198" t="str">
        <v>Ches Bonnell</v>
      </c>
      <c r="O198" t="str">
        <v>USA</v>
      </c>
      <c r="P198" t="str">
        <v>99% Dark &amp; Pure</v>
      </c>
      <c r="Q198">
        <v>4585</v>
      </c>
      <c r="R198">
        <v>240</v>
      </c>
      <c r="S198">
        <v>7.64</v>
      </c>
      <c r="T198">
        <v>1833.6</v>
      </c>
    </row>
    <row r="199" spans="4:20" x14ac:dyDescent="0.3">
      <c r="D199" t="s">
        <v>252</v>
      </c>
      <c r="E199" t="s">
        <v>257</v>
      </c>
      <c r="F199" t="s">
        <v>246</v>
      </c>
      <c r="G199">
        <v>1652</v>
      </c>
      <c r="H199">
        <v>93</v>
      </c>
      <c r="I199">
        <v>12.37</v>
      </c>
      <c r="J199">
        <v>1150.4100000000001</v>
      </c>
      <c r="M199" t="str">
        <v>172</v>
      </c>
      <c r="N199" t="str">
        <v>Gigi Bohling</v>
      </c>
      <c r="O199" t="str">
        <v>India</v>
      </c>
      <c r="P199" t="str">
        <v>Peanut Butter Cubes</v>
      </c>
      <c r="Q199">
        <v>1652</v>
      </c>
      <c r="R199">
        <v>93</v>
      </c>
      <c r="S199">
        <v>12.37</v>
      </c>
      <c r="T199">
        <v>1150.4100000000001</v>
      </c>
    </row>
    <row r="200" spans="4:20" x14ac:dyDescent="0.3">
      <c r="D200" t="s">
        <v>262</v>
      </c>
      <c r="E200" t="s">
        <v>257</v>
      </c>
      <c r="F200" t="s">
        <v>269</v>
      </c>
      <c r="G200">
        <v>4991</v>
      </c>
      <c r="H200">
        <v>9</v>
      </c>
      <c r="I200">
        <v>5.6</v>
      </c>
      <c r="J200">
        <v>50.4</v>
      </c>
      <c r="M200" t="str">
        <v>173</v>
      </c>
      <c r="N200" t="str">
        <v>Oby Sorrel</v>
      </c>
      <c r="O200" t="str">
        <v>India</v>
      </c>
      <c r="P200" t="str">
        <v>Baker's Choco Chips</v>
      </c>
      <c r="Q200">
        <v>4991</v>
      </c>
      <c r="R200">
        <v>9</v>
      </c>
      <c r="S200">
        <v>5.6</v>
      </c>
      <c r="T200">
        <v>50.4</v>
      </c>
    </row>
    <row r="201" spans="4:20" x14ac:dyDescent="0.3">
      <c r="D201" t="s">
        <v>235</v>
      </c>
      <c r="E201" t="s">
        <v>257</v>
      </c>
      <c r="F201" t="s">
        <v>256</v>
      </c>
      <c r="G201">
        <v>2009</v>
      </c>
      <c r="H201">
        <v>219</v>
      </c>
      <c r="I201">
        <v>8.7899999999999991</v>
      </c>
      <c r="J201">
        <v>1925.01</v>
      </c>
      <c r="M201" t="str">
        <v>174</v>
      </c>
      <c r="N201" t="str">
        <v>Brien Boise</v>
      </c>
      <c r="O201" t="str">
        <v>India</v>
      </c>
      <c r="P201" t="str">
        <v>Mint Chip Choco</v>
      </c>
      <c r="Q201">
        <v>2009</v>
      </c>
      <c r="R201">
        <v>219</v>
      </c>
      <c r="S201">
        <v>8.7899999999999991</v>
      </c>
      <c r="T201">
        <v>1925.01</v>
      </c>
    </row>
    <row r="202" spans="4:20" x14ac:dyDescent="0.3">
      <c r="D202" t="s">
        <v>253</v>
      </c>
      <c r="E202" t="s">
        <v>244</v>
      </c>
      <c r="F202" t="s">
        <v>249</v>
      </c>
      <c r="G202">
        <v>1568</v>
      </c>
      <c r="H202">
        <v>141</v>
      </c>
      <c r="I202">
        <v>9.77</v>
      </c>
      <c r="J202">
        <v>1377.57</v>
      </c>
      <c r="M202" t="str">
        <v>175</v>
      </c>
      <c r="N202" t="str">
        <v>Barr Faughny</v>
      </c>
      <c r="O202" t="str">
        <v>UK</v>
      </c>
      <c r="P202" t="str">
        <v>After Nines</v>
      </c>
      <c r="Q202">
        <v>1568</v>
      </c>
      <c r="R202">
        <v>141</v>
      </c>
      <c r="S202">
        <v>9.77</v>
      </c>
      <c r="T202">
        <v>1377.57</v>
      </c>
    </row>
    <row r="203" spans="4:20" x14ac:dyDescent="0.3">
      <c r="D203" t="s">
        <v>240</v>
      </c>
      <c r="E203" t="s">
        <v>233</v>
      </c>
      <c r="F203" t="s">
        <v>260</v>
      </c>
      <c r="G203">
        <v>3388</v>
      </c>
      <c r="H203">
        <v>123</v>
      </c>
      <c r="I203">
        <v>10.62</v>
      </c>
      <c r="J203">
        <v>1306.26</v>
      </c>
      <c r="M203" t="str">
        <v>176</v>
      </c>
      <c r="N203" t="str">
        <v>Carla Molina</v>
      </c>
      <c r="O203" t="str">
        <v>New Zealand</v>
      </c>
      <c r="P203" t="str">
        <v>Orange Choco</v>
      </c>
      <c r="Q203">
        <v>3388</v>
      </c>
      <c r="R203">
        <v>123</v>
      </c>
      <c r="S203">
        <v>10.62</v>
      </c>
      <c r="T203">
        <v>1306.26</v>
      </c>
    </row>
    <row r="204" spans="4:20" x14ac:dyDescent="0.3">
      <c r="D204" t="s">
        <v>232</v>
      </c>
      <c r="E204" t="s">
        <v>247</v>
      </c>
      <c r="F204" t="s">
        <v>265</v>
      </c>
      <c r="G204">
        <v>623</v>
      </c>
      <c r="H204">
        <v>51</v>
      </c>
      <c r="I204">
        <v>4.97</v>
      </c>
      <c r="J204">
        <v>253.47</v>
      </c>
      <c r="M204" t="str">
        <v>177</v>
      </c>
      <c r="N204" t="str">
        <v>Ram Mahesh</v>
      </c>
      <c r="O204" t="str">
        <v>Australia</v>
      </c>
      <c r="P204" t="str">
        <v>85% Dark Bars</v>
      </c>
      <c r="Q204">
        <v>623</v>
      </c>
      <c r="R204">
        <v>51</v>
      </c>
      <c r="S204">
        <v>4.97</v>
      </c>
      <c r="T204">
        <v>253.47</v>
      </c>
    </row>
    <row r="205" spans="4:20" x14ac:dyDescent="0.3">
      <c r="D205" t="s">
        <v>243</v>
      </c>
      <c r="E205" t="s">
        <v>241</v>
      </c>
      <c r="F205" t="s">
        <v>239</v>
      </c>
      <c r="G205">
        <v>10073</v>
      </c>
      <c r="H205">
        <v>120</v>
      </c>
      <c r="I205">
        <v>11.88</v>
      </c>
      <c r="J205">
        <v>1425.6</v>
      </c>
      <c r="M205" t="str">
        <v>178</v>
      </c>
      <c r="N205" t="str">
        <v>Curtice Advani</v>
      </c>
      <c r="O205" t="str">
        <v>Canada</v>
      </c>
      <c r="P205" t="str">
        <v>Almond Choco</v>
      </c>
      <c r="Q205">
        <v>10073</v>
      </c>
      <c r="R205">
        <v>120</v>
      </c>
      <c r="S205">
        <v>11.88</v>
      </c>
      <c r="T205">
        <v>1425.6</v>
      </c>
    </row>
    <row r="206" spans="4:20" x14ac:dyDescent="0.3">
      <c r="D206" t="s">
        <v>235</v>
      </c>
      <c r="E206" t="s">
        <v>244</v>
      </c>
      <c r="F206" t="s">
        <v>269</v>
      </c>
      <c r="G206">
        <v>1561</v>
      </c>
      <c r="H206">
        <v>27</v>
      </c>
      <c r="I206">
        <v>5.6</v>
      </c>
      <c r="J206">
        <v>151.19999999999999</v>
      </c>
      <c r="M206" t="str">
        <v>179</v>
      </c>
      <c r="N206" t="str">
        <v>Brien Boise</v>
      </c>
      <c r="O206" t="str">
        <v>UK</v>
      </c>
      <c r="P206" t="str">
        <v>Baker's Choco Chips</v>
      </c>
      <c r="Q206">
        <v>1561</v>
      </c>
      <c r="R206">
        <v>27</v>
      </c>
      <c r="S206">
        <v>5.6</v>
      </c>
      <c r="T206">
        <v>151.19999999999999</v>
      </c>
    </row>
    <row r="207" spans="4:20" x14ac:dyDescent="0.3">
      <c r="D207" t="s">
        <v>238</v>
      </c>
      <c r="E207" t="s">
        <v>241</v>
      </c>
      <c r="F207" t="s">
        <v>266</v>
      </c>
      <c r="G207">
        <v>11522</v>
      </c>
      <c r="H207">
        <v>204</v>
      </c>
      <c r="I207">
        <v>16.73</v>
      </c>
      <c r="J207">
        <v>3412.92</v>
      </c>
      <c r="M207" t="str">
        <v>180</v>
      </c>
      <c r="N207" t="str">
        <v>Husein Augar</v>
      </c>
      <c r="O207" t="str">
        <v>Canada</v>
      </c>
      <c r="P207" t="str">
        <v>Organic Choco Syrup</v>
      </c>
      <c r="Q207">
        <v>11522</v>
      </c>
      <c r="R207">
        <v>204</v>
      </c>
      <c r="S207">
        <v>16.73</v>
      </c>
      <c r="T207">
        <v>3412.92</v>
      </c>
    </row>
    <row r="208" spans="4:20" x14ac:dyDescent="0.3">
      <c r="D208" t="s">
        <v>243</v>
      </c>
      <c r="E208" t="s">
        <v>247</v>
      </c>
      <c r="F208" t="s">
        <v>258</v>
      </c>
      <c r="G208">
        <v>2317</v>
      </c>
      <c r="H208">
        <v>123</v>
      </c>
      <c r="I208">
        <v>9.33</v>
      </c>
      <c r="J208">
        <v>1147.5899999999999</v>
      </c>
      <c r="M208" t="str">
        <v>181</v>
      </c>
      <c r="N208" t="str">
        <v>Curtice Advani</v>
      </c>
      <c r="O208" t="str">
        <v>Australia</v>
      </c>
      <c r="P208" t="str">
        <v>Milk Bars</v>
      </c>
      <c r="Q208">
        <v>2317</v>
      </c>
      <c r="R208">
        <v>123</v>
      </c>
      <c r="S208">
        <v>9.33</v>
      </c>
      <c r="T208">
        <v>1147.5899999999999</v>
      </c>
    </row>
    <row r="209" spans="4:20" x14ac:dyDescent="0.3">
      <c r="D209" t="s">
        <v>262</v>
      </c>
      <c r="E209" t="s">
        <v>233</v>
      </c>
      <c r="F209" t="s">
        <v>267</v>
      </c>
      <c r="G209">
        <v>3059</v>
      </c>
      <c r="H209">
        <v>27</v>
      </c>
      <c r="I209">
        <v>10.38</v>
      </c>
      <c r="J209">
        <v>280.26</v>
      </c>
      <c r="M209" t="str">
        <v>182</v>
      </c>
      <c r="N209" t="str">
        <v>Oby Sorrel</v>
      </c>
      <c r="O209" t="str">
        <v>New Zealand</v>
      </c>
      <c r="P209" t="str">
        <v>Caramel Stuffed Bars</v>
      </c>
      <c r="Q209">
        <v>3059</v>
      </c>
      <c r="R209">
        <v>27</v>
      </c>
      <c r="S209">
        <v>10.38</v>
      </c>
      <c r="T209">
        <v>280.26</v>
      </c>
    </row>
    <row r="210" spans="4:20" x14ac:dyDescent="0.3">
      <c r="D210" t="s">
        <v>240</v>
      </c>
      <c r="E210" t="s">
        <v>233</v>
      </c>
      <c r="F210" t="s">
        <v>269</v>
      </c>
      <c r="G210">
        <v>2324</v>
      </c>
      <c r="H210">
        <v>177</v>
      </c>
      <c r="I210">
        <v>5.6</v>
      </c>
      <c r="J210">
        <v>991.2</v>
      </c>
      <c r="M210" t="str">
        <v>183</v>
      </c>
      <c r="N210" t="str">
        <v>Carla Molina</v>
      </c>
      <c r="O210" t="str">
        <v>New Zealand</v>
      </c>
      <c r="P210" t="str">
        <v>Baker's Choco Chips</v>
      </c>
      <c r="Q210">
        <v>2324</v>
      </c>
      <c r="R210">
        <v>177</v>
      </c>
      <c r="S210">
        <v>5.6</v>
      </c>
      <c r="T210">
        <v>991.2</v>
      </c>
    </row>
    <row r="211" spans="4:20" x14ac:dyDescent="0.3">
      <c r="D211" t="s">
        <v>254</v>
      </c>
      <c r="E211" t="s">
        <v>244</v>
      </c>
      <c r="F211" t="s">
        <v>269</v>
      </c>
      <c r="G211">
        <v>4956</v>
      </c>
      <c r="H211">
        <v>171</v>
      </c>
      <c r="I211">
        <v>5.6</v>
      </c>
      <c r="J211">
        <v>957.6</v>
      </c>
      <c r="M211" t="str">
        <v>184</v>
      </c>
      <c r="N211" t="str">
        <v>Gunar Cockshoot</v>
      </c>
      <c r="O211" t="str">
        <v>UK</v>
      </c>
      <c r="P211" t="str">
        <v>Baker's Choco Chips</v>
      </c>
      <c r="Q211">
        <v>4956</v>
      </c>
      <c r="R211">
        <v>171</v>
      </c>
      <c r="S211">
        <v>5.6</v>
      </c>
      <c r="T211">
        <v>957.6</v>
      </c>
    </row>
    <row r="212" spans="4:20" x14ac:dyDescent="0.3">
      <c r="D212" t="s">
        <v>262</v>
      </c>
      <c r="E212" t="s">
        <v>257</v>
      </c>
      <c r="F212" t="s">
        <v>263</v>
      </c>
      <c r="G212">
        <v>5355</v>
      </c>
      <c r="H212">
        <v>204</v>
      </c>
      <c r="I212">
        <v>7.64</v>
      </c>
      <c r="J212">
        <v>1558.56</v>
      </c>
      <c r="M212" t="str">
        <v>185</v>
      </c>
      <c r="N212" t="str">
        <v>Oby Sorrel</v>
      </c>
      <c r="O212" t="str">
        <v>India</v>
      </c>
      <c r="P212" t="str">
        <v>99% Dark &amp; Pure</v>
      </c>
      <c r="Q212">
        <v>5355</v>
      </c>
      <c r="R212">
        <v>204</v>
      </c>
      <c r="S212">
        <v>7.64</v>
      </c>
      <c r="T212">
        <v>1558.56</v>
      </c>
    </row>
    <row r="213" spans="4:20" x14ac:dyDescent="0.3">
      <c r="D213" t="s">
        <v>254</v>
      </c>
      <c r="E213" t="s">
        <v>257</v>
      </c>
      <c r="F213" t="s">
        <v>251</v>
      </c>
      <c r="G213">
        <v>7259</v>
      </c>
      <c r="H213">
        <v>276</v>
      </c>
      <c r="I213">
        <v>11.7</v>
      </c>
      <c r="J213">
        <v>3229.2</v>
      </c>
      <c r="M213" t="str">
        <v>186</v>
      </c>
      <c r="N213" t="str">
        <v>Gunar Cockshoot</v>
      </c>
      <c r="O213" t="str">
        <v>India</v>
      </c>
      <c r="P213" t="str">
        <v>50% Dark Bites</v>
      </c>
      <c r="Q213">
        <v>7259</v>
      </c>
      <c r="R213">
        <v>276</v>
      </c>
      <c r="S213">
        <v>11.7</v>
      </c>
      <c r="T213">
        <v>3229.2</v>
      </c>
    </row>
    <row r="214" spans="4:20" x14ac:dyDescent="0.3">
      <c r="D214" t="s">
        <v>235</v>
      </c>
      <c r="E214" t="s">
        <v>233</v>
      </c>
      <c r="F214" t="s">
        <v>269</v>
      </c>
      <c r="G214">
        <v>6279</v>
      </c>
      <c r="H214">
        <v>45</v>
      </c>
      <c r="I214">
        <v>5.6</v>
      </c>
      <c r="J214">
        <v>252</v>
      </c>
      <c r="M214" t="str">
        <v>187</v>
      </c>
      <c r="N214" t="str">
        <v>Brien Boise</v>
      </c>
      <c r="O214" t="str">
        <v>New Zealand</v>
      </c>
      <c r="P214" t="str">
        <v>Baker's Choco Chips</v>
      </c>
      <c r="Q214">
        <v>6279</v>
      </c>
      <c r="R214">
        <v>45</v>
      </c>
      <c r="S214">
        <v>5.6</v>
      </c>
      <c r="T214">
        <v>252</v>
      </c>
    </row>
    <row r="215" spans="4:20" x14ac:dyDescent="0.3">
      <c r="D215" t="s">
        <v>232</v>
      </c>
      <c r="E215" t="s">
        <v>247</v>
      </c>
      <c r="F215" t="s">
        <v>259</v>
      </c>
      <c r="G215">
        <v>2541</v>
      </c>
      <c r="H215">
        <v>45</v>
      </c>
      <c r="I215">
        <v>7.16</v>
      </c>
      <c r="J215">
        <v>322.2</v>
      </c>
      <c r="M215" t="str">
        <v>188</v>
      </c>
      <c r="N215" t="str">
        <v>Ram Mahesh</v>
      </c>
      <c r="O215" t="str">
        <v>Australia</v>
      </c>
      <c r="P215" t="str">
        <v>Manuka Honey Choco</v>
      </c>
      <c r="Q215">
        <v>2541</v>
      </c>
      <c r="R215">
        <v>45</v>
      </c>
      <c r="S215">
        <v>7.16</v>
      </c>
      <c r="T215">
        <v>322.2</v>
      </c>
    </row>
    <row r="216" spans="4:20" x14ac:dyDescent="0.3">
      <c r="D216" t="s">
        <v>243</v>
      </c>
      <c r="E216" t="s">
        <v>236</v>
      </c>
      <c r="F216" t="s">
        <v>266</v>
      </c>
      <c r="G216">
        <v>3864</v>
      </c>
      <c r="H216">
        <v>177</v>
      </c>
      <c r="I216">
        <v>16.73</v>
      </c>
      <c r="J216">
        <v>2961.21</v>
      </c>
      <c r="M216" t="str">
        <v>189</v>
      </c>
      <c r="N216" t="str">
        <v>Curtice Advani</v>
      </c>
      <c r="O216" t="str">
        <v>USA</v>
      </c>
      <c r="P216" t="str">
        <v>Organic Choco Syrup</v>
      </c>
      <c r="Q216">
        <v>3864</v>
      </c>
      <c r="R216">
        <v>177</v>
      </c>
      <c r="S216">
        <v>16.73</v>
      </c>
      <c r="T216">
        <v>2961.21</v>
      </c>
    </row>
    <row r="217" spans="4:20" x14ac:dyDescent="0.3">
      <c r="D217" t="s">
        <v>252</v>
      </c>
      <c r="E217" t="s">
        <v>241</v>
      </c>
      <c r="F217" t="s">
        <v>258</v>
      </c>
      <c r="G217">
        <v>6146</v>
      </c>
      <c r="H217">
        <v>63</v>
      </c>
      <c r="I217">
        <v>9.33</v>
      </c>
      <c r="J217">
        <v>587.79</v>
      </c>
      <c r="M217" t="str">
        <v>190</v>
      </c>
      <c r="N217" t="str">
        <v>Gigi Bohling</v>
      </c>
      <c r="O217" t="str">
        <v>Canada</v>
      </c>
      <c r="P217" t="str">
        <v>Milk Bars</v>
      </c>
      <c r="Q217">
        <v>6146</v>
      </c>
      <c r="R217">
        <v>63</v>
      </c>
      <c r="S217">
        <v>9.33</v>
      </c>
      <c r="T217">
        <v>587.79</v>
      </c>
    </row>
    <row r="218" spans="4:20" x14ac:dyDescent="0.3">
      <c r="D218" t="s">
        <v>238</v>
      </c>
      <c r="E218" t="s">
        <v>244</v>
      </c>
      <c r="F218" t="s">
        <v>242</v>
      </c>
      <c r="G218">
        <v>2639</v>
      </c>
      <c r="H218">
        <v>204</v>
      </c>
      <c r="I218">
        <v>6.47</v>
      </c>
      <c r="J218">
        <v>1319.88</v>
      </c>
      <c r="M218" t="str">
        <v>191</v>
      </c>
      <c r="N218" t="str">
        <v>Husein Augar</v>
      </c>
      <c r="O218" t="str">
        <v>UK</v>
      </c>
      <c r="P218" t="str">
        <v>Drinking Coco</v>
      </c>
      <c r="Q218">
        <v>2639</v>
      </c>
      <c r="R218">
        <v>204</v>
      </c>
      <c r="S218">
        <v>6.47</v>
      </c>
      <c r="T218">
        <v>1319.88</v>
      </c>
    </row>
    <row r="219" spans="4:20" x14ac:dyDescent="0.3">
      <c r="D219" t="s">
        <v>235</v>
      </c>
      <c r="E219" t="s">
        <v>233</v>
      </c>
      <c r="F219" t="s">
        <v>249</v>
      </c>
      <c r="G219">
        <v>1890</v>
      </c>
      <c r="H219">
        <v>195</v>
      </c>
      <c r="I219">
        <v>9.77</v>
      </c>
      <c r="J219">
        <v>1905.15</v>
      </c>
      <c r="M219" t="str">
        <v>192</v>
      </c>
      <c r="N219" t="str">
        <v>Brien Boise</v>
      </c>
      <c r="O219" t="str">
        <v>New Zealand</v>
      </c>
      <c r="P219" t="str">
        <v>After Nines</v>
      </c>
      <c r="Q219">
        <v>1890</v>
      </c>
      <c r="R219">
        <v>195</v>
      </c>
      <c r="S219">
        <v>9.77</v>
      </c>
      <c r="T219">
        <v>1905.15</v>
      </c>
    </row>
    <row r="220" spans="4:20" x14ac:dyDescent="0.3">
      <c r="D220" t="s">
        <v>250</v>
      </c>
      <c r="E220" t="s">
        <v>257</v>
      </c>
      <c r="F220" t="s">
        <v>251</v>
      </c>
      <c r="G220">
        <v>1932</v>
      </c>
      <c r="H220">
        <v>369</v>
      </c>
      <c r="I220">
        <v>11.7</v>
      </c>
      <c r="J220">
        <v>4317.3</v>
      </c>
      <c r="M220" t="str">
        <v>193</v>
      </c>
      <c r="N220" t="str">
        <v>Ches Bonnell</v>
      </c>
      <c r="O220" t="str">
        <v>India</v>
      </c>
      <c r="P220" t="str">
        <v>50% Dark Bites</v>
      </c>
      <c r="Q220">
        <v>1932</v>
      </c>
      <c r="R220">
        <v>369</v>
      </c>
      <c r="S220">
        <v>11.7</v>
      </c>
      <c r="T220">
        <v>4317.3</v>
      </c>
    </row>
    <row r="221" spans="4:20" x14ac:dyDescent="0.3">
      <c r="D221" t="s">
        <v>254</v>
      </c>
      <c r="E221" t="s">
        <v>257</v>
      </c>
      <c r="F221" t="s">
        <v>245</v>
      </c>
      <c r="G221">
        <v>6300</v>
      </c>
      <c r="H221">
        <v>42</v>
      </c>
      <c r="I221">
        <v>13.15</v>
      </c>
      <c r="J221">
        <v>552.29999999999995</v>
      </c>
      <c r="M221" t="str">
        <v>194</v>
      </c>
      <c r="N221" t="str">
        <v>Gunar Cockshoot</v>
      </c>
      <c r="O221" t="str">
        <v>India</v>
      </c>
      <c r="P221" t="str">
        <v>White Choc</v>
      </c>
      <c r="Q221">
        <v>6300</v>
      </c>
      <c r="R221">
        <v>42</v>
      </c>
      <c r="S221">
        <v>13.15</v>
      </c>
      <c r="T221">
        <v>552.29999999999995</v>
      </c>
    </row>
    <row r="222" spans="4:20" x14ac:dyDescent="0.3">
      <c r="D222" t="s">
        <v>243</v>
      </c>
      <c r="E222" t="s">
        <v>233</v>
      </c>
      <c r="F222" t="s">
        <v>234</v>
      </c>
      <c r="G222">
        <v>560</v>
      </c>
      <c r="H222">
        <v>81</v>
      </c>
      <c r="I222">
        <v>14.49</v>
      </c>
      <c r="J222">
        <v>1173.69</v>
      </c>
      <c r="M222" t="str">
        <v>195</v>
      </c>
      <c r="N222" t="str">
        <v>Curtice Advani</v>
      </c>
      <c r="O222" t="str">
        <v>New Zealand</v>
      </c>
      <c r="P222" t="str">
        <v>70% Dark Bites</v>
      </c>
      <c r="Q222">
        <v>560</v>
      </c>
      <c r="R222">
        <v>81</v>
      </c>
      <c r="S222">
        <v>14.49</v>
      </c>
      <c r="T222">
        <v>1173.69</v>
      </c>
    </row>
    <row r="223" spans="4:20" x14ac:dyDescent="0.3">
      <c r="D223" t="s">
        <v>238</v>
      </c>
      <c r="E223" t="s">
        <v>233</v>
      </c>
      <c r="F223" t="s">
        <v>269</v>
      </c>
      <c r="G223">
        <v>2856</v>
      </c>
      <c r="H223">
        <v>246</v>
      </c>
      <c r="I223">
        <v>5.6</v>
      </c>
      <c r="J223">
        <v>1377.6</v>
      </c>
      <c r="M223" t="str">
        <v>196</v>
      </c>
      <c r="N223" t="str">
        <v>Husein Augar</v>
      </c>
      <c r="O223" t="str">
        <v>New Zealand</v>
      </c>
      <c r="P223" t="str">
        <v>Baker's Choco Chips</v>
      </c>
      <c r="Q223">
        <v>2856</v>
      </c>
      <c r="R223">
        <v>246</v>
      </c>
      <c r="S223">
        <v>5.6</v>
      </c>
      <c r="T223">
        <v>1377.6</v>
      </c>
    </row>
    <row r="224" spans="4:20" x14ac:dyDescent="0.3">
      <c r="D224" t="s">
        <v>238</v>
      </c>
      <c r="E224" t="s">
        <v>257</v>
      </c>
      <c r="F224" t="s">
        <v>255</v>
      </c>
      <c r="G224">
        <v>707</v>
      </c>
      <c r="H224">
        <v>174</v>
      </c>
      <c r="I224">
        <v>3.11</v>
      </c>
      <c r="J224">
        <v>541.14</v>
      </c>
      <c r="M224" t="str">
        <v>197</v>
      </c>
      <c r="N224" t="str">
        <v>Husein Augar</v>
      </c>
      <c r="O224" t="str">
        <v>India</v>
      </c>
      <c r="P224" t="str">
        <v>Eclairs</v>
      </c>
      <c r="Q224">
        <v>707</v>
      </c>
      <c r="R224">
        <v>174</v>
      </c>
      <c r="S224">
        <v>3.11</v>
      </c>
      <c r="T224">
        <v>541.14</v>
      </c>
    </row>
    <row r="225" spans="4:20" x14ac:dyDescent="0.3">
      <c r="D225" t="s">
        <v>235</v>
      </c>
      <c r="E225" t="s">
        <v>236</v>
      </c>
      <c r="F225" t="s">
        <v>234</v>
      </c>
      <c r="G225">
        <v>3598</v>
      </c>
      <c r="H225">
        <v>81</v>
      </c>
      <c r="I225">
        <v>14.49</v>
      </c>
      <c r="J225">
        <v>1173.69</v>
      </c>
      <c r="M225" t="str">
        <v>198</v>
      </c>
      <c r="N225" t="str">
        <v>Brien Boise</v>
      </c>
      <c r="O225" t="str">
        <v>USA</v>
      </c>
      <c r="P225" t="str">
        <v>70% Dark Bites</v>
      </c>
      <c r="Q225">
        <v>3598</v>
      </c>
      <c r="R225">
        <v>81</v>
      </c>
      <c r="S225">
        <v>14.49</v>
      </c>
      <c r="T225">
        <v>1173.69</v>
      </c>
    </row>
    <row r="226" spans="4:20" x14ac:dyDescent="0.3">
      <c r="D226" t="s">
        <v>232</v>
      </c>
      <c r="E226" t="s">
        <v>236</v>
      </c>
      <c r="F226" t="s">
        <v>249</v>
      </c>
      <c r="G226">
        <v>6853</v>
      </c>
      <c r="H226">
        <v>372</v>
      </c>
      <c r="I226">
        <v>9.77</v>
      </c>
      <c r="J226">
        <v>3634.44</v>
      </c>
      <c r="M226" t="str">
        <v>199</v>
      </c>
      <c r="N226" t="str">
        <v>Ram Mahesh</v>
      </c>
      <c r="O226" t="str">
        <v>USA</v>
      </c>
      <c r="P226" t="str">
        <v>After Nines</v>
      </c>
      <c r="Q226">
        <v>6853</v>
      </c>
      <c r="R226">
        <v>372</v>
      </c>
      <c r="S226">
        <v>9.77</v>
      </c>
      <c r="T226">
        <v>3634.44</v>
      </c>
    </row>
    <row r="227" spans="4:20" x14ac:dyDescent="0.3">
      <c r="D227" t="s">
        <v>232</v>
      </c>
      <c r="E227" t="s">
        <v>236</v>
      </c>
      <c r="F227" t="s">
        <v>256</v>
      </c>
      <c r="G227">
        <v>4725</v>
      </c>
      <c r="H227">
        <v>174</v>
      </c>
      <c r="I227">
        <v>8.7899999999999991</v>
      </c>
      <c r="J227">
        <v>1529.46</v>
      </c>
      <c r="M227" t="str">
        <v>200</v>
      </c>
      <c r="N227" t="str">
        <v>Ram Mahesh</v>
      </c>
      <c r="O227" t="str">
        <v>USA</v>
      </c>
      <c r="P227" t="str">
        <v>Mint Chip Choco</v>
      </c>
      <c r="Q227">
        <v>4725</v>
      </c>
      <c r="R227">
        <v>174</v>
      </c>
      <c r="S227">
        <v>8.7899999999999991</v>
      </c>
      <c r="T227">
        <v>1529.46</v>
      </c>
    </row>
    <row r="228" spans="4:20" x14ac:dyDescent="0.3">
      <c r="D228" t="s">
        <v>240</v>
      </c>
      <c r="E228" t="s">
        <v>241</v>
      </c>
      <c r="F228" t="s">
        <v>237</v>
      </c>
      <c r="G228">
        <v>10304</v>
      </c>
      <c r="H228">
        <v>84</v>
      </c>
      <c r="I228">
        <v>8.65</v>
      </c>
      <c r="J228">
        <v>726.6</v>
      </c>
      <c r="M228" t="str">
        <v>201</v>
      </c>
      <c r="N228" t="str">
        <v>Carla Molina</v>
      </c>
      <c r="O228" t="str">
        <v>Canada</v>
      </c>
      <c r="P228" t="str">
        <v>Choco Coated Almonds</v>
      </c>
      <c r="Q228">
        <v>10304</v>
      </c>
      <c r="R228">
        <v>84</v>
      </c>
      <c r="S228">
        <v>8.65</v>
      </c>
      <c r="T228">
        <v>726.6</v>
      </c>
    </row>
    <row r="229" spans="4:20" x14ac:dyDescent="0.3">
      <c r="D229" t="s">
        <v>240</v>
      </c>
      <c r="E229" t="s">
        <v>257</v>
      </c>
      <c r="F229" t="s">
        <v>256</v>
      </c>
      <c r="G229">
        <v>1274</v>
      </c>
      <c r="H229">
        <v>225</v>
      </c>
      <c r="I229">
        <v>8.7899999999999991</v>
      </c>
      <c r="J229">
        <v>1977.75</v>
      </c>
      <c r="M229" t="str">
        <v>202</v>
      </c>
      <c r="N229" t="str">
        <v>Carla Molina</v>
      </c>
      <c r="O229" t="str">
        <v>India</v>
      </c>
      <c r="P229" t="str">
        <v>Mint Chip Choco</v>
      </c>
      <c r="Q229">
        <v>1274</v>
      </c>
      <c r="R229">
        <v>225</v>
      </c>
      <c r="S229">
        <v>8.7899999999999991</v>
      </c>
      <c r="T229">
        <v>1977.75</v>
      </c>
    </row>
    <row r="230" spans="4:20" x14ac:dyDescent="0.3">
      <c r="D230" t="s">
        <v>252</v>
      </c>
      <c r="E230" t="s">
        <v>241</v>
      </c>
      <c r="F230" t="s">
        <v>234</v>
      </c>
      <c r="G230">
        <v>1526</v>
      </c>
      <c r="H230">
        <v>105</v>
      </c>
      <c r="I230">
        <v>14.49</v>
      </c>
      <c r="J230">
        <v>1521.45</v>
      </c>
      <c r="M230" t="str">
        <v>203</v>
      </c>
      <c r="N230" t="str">
        <v>Gigi Bohling</v>
      </c>
      <c r="O230" t="str">
        <v>Canada</v>
      </c>
      <c r="P230" t="str">
        <v>70% Dark Bites</v>
      </c>
      <c r="Q230">
        <v>1526</v>
      </c>
      <c r="R230">
        <v>105</v>
      </c>
      <c r="S230">
        <v>14.49</v>
      </c>
      <c r="T230">
        <v>1521.45</v>
      </c>
    </row>
    <row r="231" spans="4:20" x14ac:dyDescent="0.3">
      <c r="D231" t="s">
        <v>232</v>
      </c>
      <c r="E231" t="s">
        <v>244</v>
      </c>
      <c r="F231" t="s">
        <v>267</v>
      </c>
      <c r="G231">
        <v>3101</v>
      </c>
      <c r="H231">
        <v>225</v>
      </c>
      <c r="I231">
        <v>10.38</v>
      </c>
      <c r="J231">
        <v>2335.5</v>
      </c>
      <c r="M231" t="str">
        <v>204</v>
      </c>
      <c r="N231" t="str">
        <v>Ram Mahesh</v>
      </c>
      <c r="O231" t="str">
        <v>UK</v>
      </c>
      <c r="P231" t="str">
        <v>Caramel Stuffed Bars</v>
      </c>
      <c r="Q231">
        <v>3101</v>
      </c>
      <c r="R231">
        <v>225</v>
      </c>
      <c r="S231">
        <v>10.38</v>
      </c>
      <c r="T231">
        <v>2335.5</v>
      </c>
    </row>
    <row r="232" spans="4:20" x14ac:dyDescent="0.3">
      <c r="D232" t="s">
        <v>253</v>
      </c>
      <c r="E232" t="s">
        <v>233</v>
      </c>
      <c r="F232" t="s">
        <v>251</v>
      </c>
      <c r="G232">
        <v>1057</v>
      </c>
      <c r="H232">
        <v>54</v>
      </c>
      <c r="I232">
        <v>11.7</v>
      </c>
      <c r="J232">
        <v>631.79999999999995</v>
      </c>
      <c r="M232" t="str">
        <v>205</v>
      </c>
      <c r="N232" t="str">
        <v>Barr Faughny</v>
      </c>
      <c r="O232" t="str">
        <v>New Zealand</v>
      </c>
      <c r="P232" t="str">
        <v>50% Dark Bites</v>
      </c>
      <c r="Q232">
        <v>1057</v>
      </c>
      <c r="R232">
        <v>54</v>
      </c>
      <c r="S232">
        <v>11.7</v>
      </c>
      <c r="T232">
        <v>631.79999999999995</v>
      </c>
    </row>
    <row r="233" spans="4:20" x14ac:dyDescent="0.3">
      <c r="D233" t="s">
        <v>250</v>
      </c>
      <c r="E233" t="s">
        <v>233</v>
      </c>
      <c r="F233" t="s">
        <v>269</v>
      </c>
      <c r="G233">
        <v>5306</v>
      </c>
      <c r="H233">
        <v>0</v>
      </c>
      <c r="I233">
        <v>5.6</v>
      </c>
      <c r="J233">
        <v>0</v>
      </c>
      <c r="M233" t="str">
        <v>206</v>
      </c>
      <c r="N233" t="str">
        <v>Ches Bonnell</v>
      </c>
      <c r="O233" t="str">
        <v>New Zealand</v>
      </c>
      <c r="P233" t="str">
        <v>Baker's Choco Chips</v>
      </c>
      <c r="Q233">
        <v>5306</v>
      </c>
      <c r="R233">
        <v>0</v>
      </c>
      <c r="S233">
        <v>5.6</v>
      </c>
      <c r="T233">
        <v>0</v>
      </c>
    </row>
    <row r="234" spans="4:20" x14ac:dyDescent="0.3">
      <c r="D234" t="s">
        <v>252</v>
      </c>
      <c r="E234" t="s">
        <v>244</v>
      </c>
      <c r="F234" t="s">
        <v>265</v>
      </c>
      <c r="G234">
        <v>4018</v>
      </c>
      <c r="H234">
        <v>171</v>
      </c>
      <c r="I234">
        <v>4.97</v>
      </c>
      <c r="J234">
        <v>849.87</v>
      </c>
      <c r="M234" t="str">
        <v>207</v>
      </c>
      <c r="N234" t="str">
        <v>Gigi Bohling</v>
      </c>
      <c r="O234" t="str">
        <v>UK</v>
      </c>
      <c r="P234" t="str">
        <v>85% Dark Bars</v>
      </c>
      <c r="Q234">
        <v>4018</v>
      </c>
      <c r="R234">
        <v>171</v>
      </c>
      <c r="S234">
        <v>4.97</v>
      </c>
      <c r="T234">
        <v>849.87</v>
      </c>
    </row>
    <row r="235" spans="4:20" x14ac:dyDescent="0.3">
      <c r="D235" t="s">
        <v>238</v>
      </c>
      <c r="E235" t="s">
        <v>257</v>
      </c>
      <c r="F235" t="s">
        <v>256</v>
      </c>
      <c r="G235">
        <v>938</v>
      </c>
      <c r="H235">
        <v>189</v>
      </c>
      <c r="I235">
        <v>8.7899999999999991</v>
      </c>
      <c r="J235">
        <v>1661.31</v>
      </c>
      <c r="M235" t="str">
        <v>208</v>
      </c>
      <c r="N235" t="str">
        <v>Husein Augar</v>
      </c>
      <c r="O235" t="str">
        <v>India</v>
      </c>
      <c r="P235" t="str">
        <v>Mint Chip Choco</v>
      </c>
      <c r="Q235">
        <v>938</v>
      </c>
      <c r="R235">
        <v>189</v>
      </c>
      <c r="S235">
        <v>8.7899999999999991</v>
      </c>
      <c r="T235">
        <v>1661.31</v>
      </c>
    </row>
    <row r="236" spans="4:20" x14ac:dyDescent="0.3">
      <c r="D236" t="s">
        <v>250</v>
      </c>
      <c r="E236" t="s">
        <v>247</v>
      </c>
      <c r="F236" t="s">
        <v>242</v>
      </c>
      <c r="G236">
        <v>1778</v>
      </c>
      <c r="H236">
        <v>270</v>
      </c>
      <c r="I236">
        <v>6.47</v>
      </c>
      <c r="J236">
        <v>1746.9</v>
      </c>
      <c r="M236" t="str">
        <v>209</v>
      </c>
      <c r="N236" t="str">
        <v>Ches Bonnell</v>
      </c>
      <c r="O236" t="str">
        <v>Australia</v>
      </c>
      <c r="P236" t="str">
        <v>Drinking Coco</v>
      </c>
      <c r="Q236">
        <v>1778</v>
      </c>
      <c r="R236">
        <v>270</v>
      </c>
      <c r="S236">
        <v>6.47</v>
      </c>
      <c r="T236">
        <v>1746.9</v>
      </c>
    </row>
    <row r="237" spans="4:20" x14ac:dyDescent="0.3">
      <c r="D237" t="s">
        <v>243</v>
      </c>
      <c r="E237" t="s">
        <v>244</v>
      </c>
      <c r="F237" t="s">
        <v>234</v>
      </c>
      <c r="G237">
        <v>1638</v>
      </c>
      <c r="H237">
        <v>63</v>
      </c>
      <c r="I237">
        <v>14.49</v>
      </c>
      <c r="J237">
        <v>912.87</v>
      </c>
      <c r="M237" t="str">
        <v>210</v>
      </c>
      <c r="N237" t="str">
        <v>Curtice Advani</v>
      </c>
      <c r="O237" t="str">
        <v>UK</v>
      </c>
      <c r="P237" t="str">
        <v>70% Dark Bites</v>
      </c>
      <c r="Q237">
        <v>1638</v>
      </c>
      <c r="R237">
        <v>63</v>
      </c>
      <c r="S237">
        <v>14.49</v>
      </c>
      <c r="T237">
        <v>912.87</v>
      </c>
    </row>
    <row r="238" spans="4:20" x14ac:dyDescent="0.3">
      <c r="D238" t="s">
        <v>240</v>
      </c>
      <c r="E238" t="s">
        <v>247</v>
      </c>
      <c r="F238" t="s">
        <v>245</v>
      </c>
      <c r="G238">
        <v>154</v>
      </c>
      <c r="H238">
        <v>21</v>
      </c>
      <c r="I238">
        <v>13.15</v>
      </c>
      <c r="J238">
        <v>276.14999999999998</v>
      </c>
      <c r="M238" t="str">
        <v>211</v>
      </c>
      <c r="N238" t="str">
        <v>Carla Molina</v>
      </c>
      <c r="O238" t="str">
        <v>Australia</v>
      </c>
      <c r="P238" t="str">
        <v>White Choc</v>
      </c>
      <c r="Q238">
        <v>154</v>
      </c>
      <c r="R238">
        <v>21</v>
      </c>
      <c r="S238">
        <v>13.15</v>
      </c>
      <c r="T238">
        <v>276.14999999999998</v>
      </c>
    </row>
    <row r="239" spans="4:20" x14ac:dyDescent="0.3">
      <c r="D239" t="s">
        <v>250</v>
      </c>
      <c r="E239" t="s">
        <v>233</v>
      </c>
      <c r="F239" t="s">
        <v>249</v>
      </c>
      <c r="G239">
        <v>9835</v>
      </c>
      <c r="H239">
        <v>207</v>
      </c>
      <c r="I239">
        <v>9.77</v>
      </c>
      <c r="J239">
        <v>2022.39</v>
      </c>
      <c r="M239" t="str">
        <v>212</v>
      </c>
      <c r="N239" t="str">
        <v>Ches Bonnell</v>
      </c>
      <c r="O239" t="str">
        <v>New Zealand</v>
      </c>
      <c r="P239" t="str">
        <v>After Nines</v>
      </c>
      <c r="Q239">
        <v>9835</v>
      </c>
      <c r="R239">
        <v>207</v>
      </c>
      <c r="S239">
        <v>9.77</v>
      </c>
      <c r="T239">
        <v>2022.39</v>
      </c>
    </row>
    <row r="240" spans="4:20" x14ac:dyDescent="0.3">
      <c r="D240" t="s">
        <v>238</v>
      </c>
      <c r="E240" t="s">
        <v>233</v>
      </c>
      <c r="F240" t="s">
        <v>260</v>
      </c>
      <c r="G240">
        <v>7273</v>
      </c>
      <c r="H240">
        <v>96</v>
      </c>
      <c r="I240">
        <v>10.62</v>
      </c>
      <c r="J240">
        <v>1019.52</v>
      </c>
      <c r="M240" t="str">
        <v>213</v>
      </c>
      <c r="N240" t="str">
        <v>Husein Augar</v>
      </c>
      <c r="O240" t="str">
        <v>New Zealand</v>
      </c>
      <c r="P240" t="str">
        <v>Orange Choco</v>
      </c>
      <c r="Q240">
        <v>7273</v>
      </c>
      <c r="R240">
        <v>96</v>
      </c>
      <c r="S240">
        <v>10.62</v>
      </c>
      <c r="T240">
        <v>1019.52</v>
      </c>
    </row>
    <row r="241" spans="4:20" x14ac:dyDescent="0.3">
      <c r="D241" t="s">
        <v>252</v>
      </c>
      <c r="E241" t="s">
        <v>244</v>
      </c>
      <c r="F241" t="s">
        <v>249</v>
      </c>
      <c r="G241">
        <v>6909</v>
      </c>
      <c r="H241">
        <v>81</v>
      </c>
      <c r="I241">
        <v>9.77</v>
      </c>
      <c r="J241">
        <v>791.37</v>
      </c>
      <c r="M241" t="str">
        <v>214</v>
      </c>
      <c r="N241" t="str">
        <v>Gigi Bohling</v>
      </c>
      <c r="O241" t="str">
        <v>UK</v>
      </c>
      <c r="P241" t="str">
        <v>After Nines</v>
      </c>
      <c r="Q241">
        <v>6909</v>
      </c>
      <c r="R241">
        <v>81</v>
      </c>
      <c r="S241">
        <v>9.77</v>
      </c>
      <c r="T241">
        <v>791.37</v>
      </c>
    </row>
    <row r="242" spans="4:20" x14ac:dyDescent="0.3">
      <c r="D242" t="s">
        <v>238</v>
      </c>
      <c r="E242" t="s">
        <v>244</v>
      </c>
      <c r="F242" t="s">
        <v>265</v>
      </c>
      <c r="G242">
        <v>3920</v>
      </c>
      <c r="H242">
        <v>306</v>
      </c>
      <c r="I242">
        <v>4.97</v>
      </c>
      <c r="J242">
        <v>1520.82</v>
      </c>
      <c r="M242" t="str">
        <v>215</v>
      </c>
      <c r="N242" t="str">
        <v>Husein Augar</v>
      </c>
      <c r="O242" t="str">
        <v>UK</v>
      </c>
      <c r="P242" t="str">
        <v>85% Dark Bars</v>
      </c>
      <c r="Q242">
        <v>3920</v>
      </c>
      <c r="R242">
        <v>306</v>
      </c>
      <c r="S242">
        <v>4.97</v>
      </c>
      <c r="T242">
        <v>1520.82</v>
      </c>
    </row>
    <row r="243" spans="4:20" x14ac:dyDescent="0.3">
      <c r="D243" t="s">
        <v>262</v>
      </c>
      <c r="E243" t="s">
        <v>244</v>
      </c>
      <c r="F243" t="s">
        <v>268</v>
      </c>
      <c r="G243">
        <v>4858</v>
      </c>
      <c r="H243">
        <v>279</v>
      </c>
      <c r="I243">
        <v>9</v>
      </c>
      <c r="J243">
        <v>2511</v>
      </c>
      <c r="M243" t="str">
        <v>216</v>
      </c>
      <c r="N243" t="str">
        <v>Oby Sorrel</v>
      </c>
      <c r="O243" t="str">
        <v>UK</v>
      </c>
      <c r="P243" t="str">
        <v>Spicy Special Slims</v>
      </c>
      <c r="Q243">
        <v>4858</v>
      </c>
      <c r="R243">
        <v>279</v>
      </c>
      <c r="S243">
        <v>9</v>
      </c>
      <c r="T243">
        <v>2511</v>
      </c>
    </row>
    <row r="244" spans="4:20" x14ac:dyDescent="0.3">
      <c r="D244" t="s">
        <v>253</v>
      </c>
      <c r="E244" t="s">
        <v>247</v>
      </c>
      <c r="F244" t="s">
        <v>239</v>
      </c>
      <c r="G244">
        <v>3549</v>
      </c>
      <c r="H244">
        <v>3</v>
      </c>
      <c r="I244">
        <v>11.88</v>
      </c>
      <c r="J244">
        <v>35.64</v>
      </c>
      <c r="M244" t="str">
        <v>217</v>
      </c>
      <c r="N244" t="str">
        <v>Barr Faughny</v>
      </c>
      <c r="O244" t="str">
        <v>Australia</v>
      </c>
      <c r="P244" t="str">
        <v>Almond Choco</v>
      </c>
      <c r="Q244">
        <v>3549</v>
      </c>
      <c r="R244">
        <v>3</v>
      </c>
      <c r="S244">
        <v>11.88</v>
      </c>
      <c r="T244">
        <v>35.64</v>
      </c>
    </row>
    <row r="245" spans="4:20" x14ac:dyDescent="0.3">
      <c r="D245" t="s">
        <v>250</v>
      </c>
      <c r="E245" t="s">
        <v>244</v>
      </c>
      <c r="F245" t="s">
        <v>266</v>
      </c>
      <c r="G245">
        <v>966</v>
      </c>
      <c r="H245">
        <v>198</v>
      </c>
      <c r="I245">
        <v>16.73</v>
      </c>
      <c r="J245">
        <v>3312.54</v>
      </c>
      <c r="M245" t="str">
        <v>218</v>
      </c>
      <c r="N245" t="str">
        <v>Ches Bonnell</v>
      </c>
      <c r="O245" t="str">
        <v>UK</v>
      </c>
      <c r="P245" t="str">
        <v>Organic Choco Syrup</v>
      </c>
      <c r="Q245">
        <v>966</v>
      </c>
      <c r="R245">
        <v>198</v>
      </c>
      <c r="S245">
        <v>16.73</v>
      </c>
      <c r="T245">
        <v>3312.54</v>
      </c>
    </row>
    <row r="246" spans="4:20" x14ac:dyDescent="0.3">
      <c r="D246" t="s">
        <v>252</v>
      </c>
      <c r="E246" t="s">
        <v>244</v>
      </c>
      <c r="F246" t="s">
        <v>242</v>
      </c>
      <c r="G246">
        <v>385</v>
      </c>
      <c r="H246">
        <v>249</v>
      </c>
      <c r="I246">
        <v>6.47</v>
      </c>
      <c r="J246">
        <v>1611.03</v>
      </c>
      <c r="M246" t="str">
        <v>219</v>
      </c>
      <c r="N246" t="str">
        <v>Gigi Bohling</v>
      </c>
      <c r="O246" t="str">
        <v>UK</v>
      </c>
      <c r="P246" t="str">
        <v>Drinking Coco</v>
      </c>
      <c r="Q246">
        <v>385</v>
      </c>
      <c r="R246">
        <v>249</v>
      </c>
      <c r="S246">
        <v>6.47</v>
      </c>
      <c r="T246">
        <v>1611.03</v>
      </c>
    </row>
    <row r="247" spans="4:20" x14ac:dyDescent="0.3">
      <c r="D247" t="s">
        <v>243</v>
      </c>
      <c r="E247" t="s">
        <v>257</v>
      </c>
      <c r="F247" t="s">
        <v>256</v>
      </c>
      <c r="G247">
        <v>2219</v>
      </c>
      <c r="H247">
        <v>75</v>
      </c>
      <c r="I247">
        <v>8.7899999999999991</v>
      </c>
      <c r="J247">
        <v>659.25</v>
      </c>
      <c r="M247" t="str">
        <v>220</v>
      </c>
      <c r="N247" t="str">
        <v>Curtice Advani</v>
      </c>
      <c r="O247" t="str">
        <v>India</v>
      </c>
      <c r="P247" t="str">
        <v>Mint Chip Choco</v>
      </c>
      <c r="Q247">
        <v>2219</v>
      </c>
      <c r="R247">
        <v>75</v>
      </c>
      <c r="S247">
        <v>8.7899999999999991</v>
      </c>
      <c r="T247">
        <v>659.25</v>
      </c>
    </row>
    <row r="248" spans="4:20" x14ac:dyDescent="0.3">
      <c r="D248" t="s">
        <v>238</v>
      </c>
      <c r="E248" t="s">
        <v>241</v>
      </c>
      <c r="F248" t="s">
        <v>237</v>
      </c>
      <c r="G248">
        <v>2954</v>
      </c>
      <c r="H248">
        <v>189</v>
      </c>
      <c r="I248">
        <v>8.65</v>
      </c>
      <c r="J248">
        <v>1634.85</v>
      </c>
      <c r="M248" t="str">
        <v>221</v>
      </c>
      <c r="N248" t="str">
        <v>Husein Augar</v>
      </c>
      <c r="O248" t="str">
        <v>Canada</v>
      </c>
      <c r="P248" t="str">
        <v>Choco Coated Almonds</v>
      </c>
      <c r="Q248">
        <v>2954</v>
      </c>
      <c r="R248">
        <v>189</v>
      </c>
      <c r="S248">
        <v>8.65</v>
      </c>
      <c r="T248">
        <v>1634.85</v>
      </c>
    </row>
    <row r="249" spans="4:20" x14ac:dyDescent="0.3">
      <c r="D249" t="s">
        <v>250</v>
      </c>
      <c r="E249" t="s">
        <v>241</v>
      </c>
      <c r="F249" t="s">
        <v>237</v>
      </c>
      <c r="G249">
        <v>280</v>
      </c>
      <c r="H249">
        <v>87</v>
      </c>
      <c r="I249">
        <v>8.65</v>
      </c>
      <c r="J249">
        <v>752.55</v>
      </c>
      <c r="M249" t="str">
        <v>222</v>
      </c>
      <c r="N249" t="str">
        <v>Ches Bonnell</v>
      </c>
      <c r="O249" t="str">
        <v>Canada</v>
      </c>
      <c r="P249" t="str">
        <v>Choco Coated Almonds</v>
      </c>
      <c r="Q249">
        <v>280</v>
      </c>
      <c r="R249">
        <v>87</v>
      </c>
      <c r="S249">
        <v>8.65</v>
      </c>
      <c r="T249">
        <v>752.55</v>
      </c>
    </row>
    <row r="250" spans="4:20" x14ac:dyDescent="0.3">
      <c r="D250" t="s">
        <v>240</v>
      </c>
      <c r="E250" t="s">
        <v>241</v>
      </c>
      <c r="F250" t="s">
        <v>234</v>
      </c>
      <c r="G250">
        <v>6118</v>
      </c>
      <c r="H250">
        <v>174</v>
      </c>
      <c r="I250">
        <v>14.49</v>
      </c>
      <c r="J250">
        <v>2521.2600000000002</v>
      </c>
      <c r="M250" t="str">
        <v>223</v>
      </c>
      <c r="N250" t="str">
        <v>Carla Molina</v>
      </c>
      <c r="O250" t="str">
        <v>Canada</v>
      </c>
      <c r="P250" t="str">
        <v>70% Dark Bites</v>
      </c>
      <c r="Q250">
        <v>6118</v>
      </c>
      <c r="R250">
        <v>174</v>
      </c>
      <c r="S250">
        <v>14.49</v>
      </c>
      <c r="T250">
        <v>2521.2600000000002</v>
      </c>
    </row>
    <row r="251" spans="4:20" x14ac:dyDescent="0.3">
      <c r="D251" t="s">
        <v>253</v>
      </c>
      <c r="E251" t="s">
        <v>244</v>
      </c>
      <c r="F251" t="s">
        <v>264</v>
      </c>
      <c r="G251">
        <v>4802</v>
      </c>
      <c r="H251">
        <v>36</v>
      </c>
      <c r="I251">
        <v>11.73</v>
      </c>
      <c r="J251">
        <v>422.28</v>
      </c>
      <c r="M251" t="str">
        <v>224</v>
      </c>
      <c r="N251" t="str">
        <v>Barr Faughny</v>
      </c>
      <c r="O251" t="str">
        <v>UK</v>
      </c>
      <c r="P251" t="str">
        <v>Raspberry Choco</v>
      </c>
      <c r="Q251">
        <v>4802</v>
      </c>
      <c r="R251">
        <v>36</v>
      </c>
      <c r="S251">
        <v>11.73</v>
      </c>
      <c r="T251">
        <v>422.28</v>
      </c>
    </row>
    <row r="252" spans="4:20" x14ac:dyDescent="0.3">
      <c r="D252" t="s">
        <v>238</v>
      </c>
      <c r="E252" t="s">
        <v>247</v>
      </c>
      <c r="F252" t="s">
        <v>265</v>
      </c>
      <c r="G252">
        <v>4137</v>
      </c>
      <c r="H252">
        <v>60</v>
      </c>
      <c r="I252">
        <v>4.97</v>
      </c>
      <c r="J252">
        <v>298.2</v>
      </c>
      <c r="M252" t="str">
        <v>225</v>
      </c>
      <c r="N252" t="str">
        <v>Husein Augar</v>
      </c>
      <c r="O252" t="str">
        <v>Australia</v>
      </c>
      <c r="P252" t="str">
        <v>85% Dark Bars</v>
      </c>
      <c r="Q252">
        <v>4137</v>
      </c>
      <c r="R252">
        <v>60</v>
      </c>
      <c r="S252">
        <v>4.97</v>
      </c>
      <c r="T252">
        <v>298.2</v>
      </c>
    </row>
    <row r="253" spans="4:20" x14ac:dyDescent="0.3">
      <c r="D253" t="s">
        <v>254</v>
      </c>
      <c r="E253" t="s">
        <v>236</v>
      </c>
      <c r="F253" t="s">
        <v>261</v>
      </c>
      <c r="G253">
        <v>2023</v>
      </c>
      <c r="H253">
        <v>78</v>
      </c>
      <c r="I253">
        <v>6.49</v>
      </c>
      <c r="J253">
        <v>506.22</v>
      </c>
      <c r="M253" t="str">
        <v>226</v>
      </c>
      <c r="N253" t="str">
        <v>Gunar Cockshoot</v>
      </c>
      <c r="O253" t="str">
        <v>USA</v>
      </c>
      <c r="P253" t="str">
        <v>Fruit &amp; Nut Bars</v>
      </c>
      <c r="Q253">
        <v>2023</v>
      </c>
      <c r="R253">
        <v>78</v>
      </c>
      <c r="S253">
        <v>6.49</v>
      </c>
      <c r="T253">
        <v>506.22</v>
      </c>
    </row>
    <row r="254" spans="4:20" x14ac:dyDescent="0.3">
      <c r="D254" t="s">
        <v>238</v>
      </c>
      <c r="E254" t="s">
        <v>241</v>
      </c>
      <c r="F254" t="s">
        <v>234</v>
      </c>
      <c r="G254">
        <v>9051</v>
      </c>
      <c r="H254">
        <v>57</v>
      </c>
      <c r="I254">
        <v>14.49</v>
      </c>
      <c r="J254">
        <v>825.93</v>
      </c>
      <c r="M254" t="str">
        <v>227</v>
      </c>
      <c r="N254" t="str">
        <v>Husein Augar</v>
      </c>
      <c r="O254" t="str">
        <v>Canada</v>
      </c>
      <c r="P254" t="str">
        <v>70% Dark Bites</v>
      </c>
      <c r="Q254">
        <v>9051</v>
      </c>
      <c r="R254">
        <v>57</v>
      </c>
      <c r="S254">
        <v>14.49</v>
      </c>
      <c r="T254">
        <v>825.93</v>
      </c>
    </row>
    <row r="255" spans="4:20" x14ac:dyDescent="0.3">
      <c r="D255" t="s">
        <v>238</v>
      </c>
      <c r="E255" t="s">
        <v>233</v>
      </c>
      <c r="F255" t="s">
        <v>267</v>
      </c>
      <c r="G255">
        <v>2919</v>
      </c>
      <c r="H255">
        <v>45</v>
      </c>
      <c r="I255">
        <v>10.38</v>
      </c>
      <c r="J255">
        <v>467.1</v>
      </c>
      <c r="M255" t="str">
        <v>228</v>
      </c>
      <c r="N255" t="str">
        <v>Husein Augar</v>
      </c>
      <c r="O255" t="str">
        <v>New Zealand</v>
      </c>
      <c r="P255" t="str">
        <v>Caramel Stuffed Bars</v>
      </c>
      <c r="Q255">
        <v>2919</v>
      </c>
      <c r="R255">
        <v>45</v>
      </c>
      <c r="S255">
        <v>10.38</v>
      </c>
      <c r="T255">
        <v>467.1</v>
      </c>
    </row>
    <row r="256" spans="4:20" x14ac:dyDescent="0.3">
      <c r="D256" t="s">
        <v>240</v>
      </c>
      <c r="E256" t="s">
        <v>247</v>
      </c>
      <c r="F256" t="s">
        <v>249</v>
      </c>
      <c r="G256">
        <v>5915</v>
      </c>
      <c r="H256">
        <v>3</v>
      </c>
      <c r="I256">
        <v>9.77</v>
      </c>
      <c r="J256">
        <v>29.31</v>
      </c>
      <c r="M256" t="str">
        <v>229</v>
      </c>
      <c r="N256" t="str">
        <v>Carla Molina</v>
      </c>
      <c r="O256" t="str">
        <v>Australia</v>
      </c>
      <c r="P256" t="str">
        <v>After Nines</v>
      </c>
      <c r="Q256">
        <v>5915</v>
      </c>
      <c r="R256">
        <v>3</v>
      </c>
      <c r="S256">
        <v>9.77</v>
      </c>
      <c r="T256">
        <v>29.31</v>
      </c>
    </row>
    <row r="257" spans="4:20" x14ac:dyDescent="0.3">
      <c r="D257" t="s">
        <v>262</v>
      </c>
      <c r="E257" t="s">
        <v>236</v>
      </c>
      <c r="F257" t="s">
        <v>264</v>
      </c>
      <c r="G257">
        <v>2562</v>
      </c>
      <c r="H257">
        <v>6</v>
      </c>
      <c r="I257">
        <v>11.73</v>
      </c>
      <c r="J257">
        <v>70.38</v>
      </c>
      <c r="M257" t="str">
        <v>230</v>
      </c>
      <c r="N257" t="str">
        <v>Oby Sorrel</v>
      </c>
      <c r="O257" t="str">
        <v>USA</v>
      </c>
      <c r="P257" t="str">
        <v>Raspberry Choco</v>
      </c>
      <c r="Q257">
        <v>2562</v>
      </c>
      <c r="R257">
        <v>6</v>
      </c>
      <c r="S257">
        <v>11.73</v>
      </c>
      <c r="T257">
        <v>70.38</v>
      </c>
    </row>
    <row r="258" spans="4:20" x14ac:dyDescent="0.3">
      <c r="D258" t="s">
        <v>252</v>
      </c>
      <c r="E258" t="s">
        <v>233</v>
      </c>
      <c r="F258" t="s">
        <v>245</v>
      </c>
      <c r="G258">
        <v>8813</v>
      </c>
      <c r="H258">
        <v>21</v>
      </c>
      <c r="I258">
        <v>13.15</v>
      </c>
      <c r="J258">
        <v>276.14999999999998</v>
      </c>
      <c r="M258" t="str">
        <v>231</v>
      </c>
      <c r="N258" t="str">
        <v>Gigi Bohling</v>
      </c>
      <c r="O258" t="str">
        <v>New Zealand</v>
      </c>
      <c r="P258" t="str">
        <v>White Choc</v>
      </c>
      <c r="Q258">
        <v>8813</v>
      </c>
      <c r="R258">
        <v>21</v>
      </c>
      <c r="S258">
        <v>13.15</v>
      </c>
      <c r="T258">
        <v>276.14999999999998</v>
      </c>
    </row>
    <row r="259" spans="4:20" x14ac:dyDescent="0.3">
      <c r="D259" t="s">
        <v>252</v>
      </c>
      <c r="E259" t="s">
        <v>241</v>
      </c>
      <c r="F259" t="s">
        <v>242</v>
      </c>
      <c r="G259">
        <v>6111</v>
      </c>
      <c r="H259">
        <v>3</v>
      </c>
      <c r="I259">
        <v>6.47</v>
      </c>
      <c r="J259">
        <v>19.41</v>
      </c>
      <c r="M259" t="str">
        <v>232</v>
      </c>
      <c r="N259" t="str">
        <v>Gigi Bohling</v>
      </c>
      <c r="O259" t="str">
        <v>Canada</v>
      </c>
      <c r="P259" t="str">
        <v>Drinking Coco</v>
      </c>
      <c r="Q259">
        <v>6111</v>
      </c>
      <c r="R259">
        <v>3</v>
      </c>
      <c r="S259">
        <v>6.47</v>
      </c>
      <c r="T259">
        <v>19.41</v>
      </c>
    </row>
    <row r="260" spans="4:20" x14ac:dyDescent="0.3">
      <c r="D260" t="s">
        <v>235</v>
      </c>
      <c r="E260" t="s">
        <v>257</v>
      </c>
      <c r="F260" t="s">
        <v>248</v>
      </c>
      <c r="G260">
        <v>3507</v>
      </c>
      <c r="H260">
        <v>288</v>
      </c>
      <c r="I260">
        <v>5.79</v>
      </c>
      <c r="J260">
        <v>1667.52</v>
      </c>
      <c r="M260" t="str">
        <v>233</v>
      </c>
      <c r="N260" t="str">
        <v>Brien Boise</v>
      </c>
      <c r="O260" t="str">
        <v>India</v>
      </c>
      <c r="P260" t="str">
        <v>Smooth Sliky Salty</v>
      </c>
      <c r="Q260">
        <v>3507</v>
      </c>
      <c r="R260">
        <v>288</v>
      </c>
      <c r="S260">
        <v>5.79</v>
      </c>
      <c r="T260">
        <v>1667.52</v>
      </c>
    </row>
    <row r="261" spans="4:20" x14ac:dyDescent="0.3">
      <c r="D261" t="s">
        <v>243</v>
      </c>
      <c r="E261" t="s">
        <v>241</v>
      </c>
      <c r="F261" t="s">
        <v>258</v>
      </c>
      <c r="G261">
        <v>4319</v>
      </c>
      <c r="H261">
        <v>30</v>
      </c>
      <c r="I261">
        <v>9.33</v>
      </c>
      <c r="J261">
        <v>279.89999999999998</v>
      </c>
      <c r="M261" t="str">
        <v>234</v>
      </c>
      <c r="N261" t="str">
        <v>Curtice Advani</v>
      </c>
      <c r="O261" t="str">
        <v>Canada</v>
      </c>
      <c r="P261" t="str">
        <v>Milk Bars</v>
      </c>
      <c r="Q261">
        <v>4319</v>
      </c>
      <c r="R261">
        <v>30</v>
      </c>
      <c r="S261">
        <v>9.33</v>
      </c>
      <c r="T261">
        <v>279.89999999999998</v>
      </c>
    </row>
    <row r="262" spans="4:20" x14ac:dyDescent="0.3">
      <c r="D262" t="s">
        <v>232</v>
      </c>
      <c r="E262" t="s">
        <v>247</v>
      </c>
      <c r="F262" t="s">
        <v>269</v>
      </c>
      <c r="G262">
        <v>609</v>
      </c>
      <c r="H262">
        <v>87</v>
      </c>
      <c r="I262">
        <v>5.6</v>
      </c>
      <c r="J262">
        <v>487.2</v>
      </c>
      <c r="M262" t="str">
        <v>235</v>
      </c>
      <c r="N262" t="str">
        <v>Ram Mahesh</v>
      </c>
      <c r="O262" t="str">
        <v>Australia</v>
      </c>
      <c r="P262" t="str">
        <v>Baker's Choco Chips</v>
      </c>
      <c r="Q262">
        <v>609</v>
      </c>
      <c r="R262">
        <v>87</v>
      </c>
      <c r="S262">
        <v>5.6</v>
      </c>
      <c r="T262">
        <v>487.2</v>
      </c>
    </row>
    <row r="263" spans="4:20" x14ac:dyDescent="0.3">
      <c r="D263" t="s">
        <v>232</v>
      </c>
      <c r="E263" t="s">
        <v>244</v>
      </c>
      <c r="F263" t="s">
        <v>266</v>
      </c>
      <c r="G263">
        <v>6370</v>
      </c>
      <c r="H263">
        <v>30</v>
      </c>
      <c r="I263">
        <v>16.73</v>
      </c>
      <c r="J263">
        <v>501.9</v>
      </c>
      <c r="M263" t="str">
        <v>236</v>
      </c>
      <c r="N263" t="str">
        <v>Ram Mahesh</v>
      </c>
      <c r="O263" t="str">
        <v>UK</v>
      </c>
      <c r="P263" t="str">
        <v>Organic Choco Syrup</v>
      </c>
      <c r="Q263">
        <v>6370</v>
      </c>
      <c r="R263">
        <v>30</v>
      </c>
      <c r="S263">
        <v>16.73</v>
      </c>
      <c r="T263">
        <v>501.9</v>
      </c>
    </row>
    <row r="264" spans="4:20" x14ac:dyDescent="0.3">
      <c r="D264" t="s">
        <v>252</v>
      </c>
      <c r="E264" t="s">
        <v>247</v>
      </c>
      <c r="F264" t="s">
        <v>263</v>
      </c>
      <c r="G264">
        <v>5474</v>
      </c>
      <c r="H264">
        <v>168</v>
      </c>
      <c r="I264">
        <v>7.64</v>
      </c>
      <c r="J264">
        <v>1283.52</v>
      </c>
      <c r="M264" t="str">
        <v>237</v>
      </c>
      <c r="N264" t="str">
        <v>Gigi Bohling</v>
      </c>
      <c r="O264" t="str">
        <v>Australia</v>
      </c>
      <c r="P264" t="str">
        <v>99% Dark &amp; Pure</v>
      </c>
      <c r="Q264">
        <v>5474</v>
      </c>
      <c r="R264">
        <v>168</v>
      </c>
      <c r="S264">
        <v>7.64</v>
      </c>
      <c r="T264">
        <v>1283.52</v>
      </c>
    </row>
    <row r="265" spans="4:20" x14ac:dyDescent="0.3">
      <c r="D265" t="s">
        <v>232</v>
      </c>
      <c r="E265" t="s">
        <v>241</v>
      </c>
      <c r="F265" t="s">
        <v>266</v>
      </c>
      <c r="G265">
        <v>3164</v>
      </c>
      <c r="H265">
        <v>306</v>
      </c>
      <c r="I265">
        <v>16.73</v>
      </c>
      <c r="J265">
        <v>5119.38</v>
      </c>
      <c r="M265" t="str">
        <v>238</v>
      </c>
      <c r="N265" t="str">
        <v>Ram Mahesh</v>
      </c>
      <c r="O265" t="str">
        <v>Canada</v>
      </c>
      <c r="P265" t="str">
        <v>Organic Choco Syrup</v>
      </c>
      <c r="Q265">
        <v>3164</v>
      </c>
      <c r="R265">
        <v>306</v>
      </c>
      <c r="S265">
        <v>16.73</v>
      </c>
      <c r="T265">
        <v>5119.38</v>
      </c>
    </row>
    <row r="266" spans="4:20" x14ac:dyDescent="0.3">
      <c r="D266" t="s">
        <v>243</v>
      </c>
      <c r="E266" t="s">
        <v>236</v>
      </c>
      <c r="F266" t="s">
        <v>239</v>
      </c>
      <c r="G266">
        <v>1302</v>
      </c>
      <c r="H266">
        <v>402</v>
      </c>
      <c r="I266">
        <v>11.88</v>
      </c>
      <c r="J266">
        <v>4775.76</v>
      </c>
      <c r="M266" t="str">
        <v>239</v>
      </c>
      <c r="N266" t="str">
        <v>Curtice Advani</v>
      </c>
      <c r="O266" t="str">
        <v>USA</v>
      </c>
      <c r="P266" t="str">
        <v>Almond Choco</v>
      </c>
      <c r="Q266">
        <v>1302</v>
      </c>
      <c r="R266">
        <v>402</v>
      </c>
      <c r="S266">
        <v>11.88</v>
      </c>
      <c r="T266">
        <v>4775.76</v>
      </c>
    </row>
    <row r="267" spans="4:20" x14ac:dyDescent="0.3">
      <c r="D267" t="s">
        <v>254</v>
      </c>
      <c r="E267" t="s">
        <v>233</v>
      </c>
      <c r="F267" t="s">
        <v>267</v>
      </c>
      <c r="G267">
        <v>7308</v>
      </c>
      <c r="H267">
        <v>327</v>
      </c>
      <c r="I267">
        <v>10.38</v>
      </c>
      <c r="J267">
        <v>3394.26</v>
      </c>
      <c r="M267" t="str">
        <v>240</v>
      </c>
      <c r="N267" t="str">
        <v>Gunar Cockshoot</v>
      </c>
      <c r="O267" t="str">
        <v>New Zealand</v>
      </c>
      <c r="P267" t="str">
        <v>Caramel Stuffed Bars</v>
      </c>
      <c r="Q267">
        <v>7308</v>
      </c>
      <c r="R267">
        <v>327</v>
      </c>
      <c r="S267">
        <v>10.38</v>
      </c>
      <c r="T267">
        <v>3394.26</v>
      </c>
    </row>
    <row r="268" spans="4:20" x14ac:dyDescent="0.3">
      <c r="D268" t="s">
        <v>232</v>
      </c>
      <c r="E268" t="s">
        <v>233</v>
      </c>
      <c r="F268" t="s">
        <v>266</v>
      </c>
      <c r="G268">
        <v>6132</v>
      </c>
      <c r="H268">
        <v>93</v>
      </c>
      <c r="I268">
        <v>16.73</v>
      </c>
      <c r="J268">
        <v>1555.89</v>
      </c>
      <c r="M268" t="str">
        <v>241</v>
      </c>
      <c r="N268" t="str">
        <v>Ram Mahesh</v>
      </c>
      <c r="O268" t="str">
        <v>New Zealand</v>
      </c>
      <c r="P268" t="str">
        <v>Organic Choco Syrup</v>
      </c>
      <c r="Q268">
        <v>6132</v>
      </c>
      <c r="R268">
        <v>93</v>
      </c>
      <c r="S268">
        <v>16.73</v>
      </c>
      <c r="T268">
        <v>1555.89</v>
      </c>
    </row>
    <row r="269" spans="4:20" x14ac:dyDescent="0.3">
      <c r="D269" t="s">
        <v>262</v>
      </c>
      <c r="E269" t="s">
        <v>236</v>
      </c>
      <c r="F269" t="s">
        <v>251</v>
      </c>
      <c r="G269">
        <v>3472</v>
      </c>
      <c r="H269">
        <v>96</v>
      </c>
      <c r="I269">
        <v>11.7</v>
      </c>
      <c r="J269">
        <v>1123.2</v>
      </c>
      <c r="M269" t="str">
        <v>242</v>
      </c>
      <c r="N269" t="str">
        <v>Oby Sorrel</v>
      </c>
      <c r="O269" t="str">
        <v>USA</v>
      </c>
      <c r="P269" t="str">
        <v>50% Dark Bites</v>
      </c>
      <c r="Q269">
        <v>3472</v>
      </c>
      <c r="R269">
        <v>96</v>
      </c>
      <c r="S269">
        <v>11.7</v>
      </c>
      <c r="T269">
        <v>1123.2</v>
      </c>
    </row>
    <row r="270" spans="4:20" x14ac:dyDescent="0.3">
      <c r="D270" t="s">
        <v>235</v>
      </c>
      <c r="E270" t="s">
        <v>244</v>
      </c>
      <c r="F270" t="s">
        <v>242</v>
      </c>
      <c r="G270">
        <v>9660</v>
      </c>
      <c r="H270">
        <v>27</v>
      </c>
      <c r="I270">
        <v>6.47</v>
      </c>
      <c r="J270">
        <v>174.69</v>
      </c>
      <c r="M270" t="str">
        <v>243</v>
      </c>
      <c r="N270" t="str">
        <v>Brien Boise</v>
      </c>
      <c r="O270" t="str">
        <v>UK</v>
      </c>
      <c r="P270" t="str">
        <v>Drinking Coco</v>
      </c>
      <c r="Q270">
        <v>9660</v>
      </c>
      <c r="R270">
        <v>27</v>
      </c>
      <c r="S270">
        <v>6.47</v>
      </c>
      <c r="T270">
        <v>174.69</v>
      </c>
    </row>
    <row r="271" spans="4:20" x14ac:dyDescent="0.3">
      <c r="D271" t="s">
        <v>238</v>
      </c>
      <c r="E271" t="s">
        <v>247</v>
      </c>
      <c r="F271" t="s">
        <v>269</v>
      </c>
      <c r="G271">
        <v>2436</v>
      </c>
      <c r="H271">
        <v>99</v>
      </c>
      <c r="I271">
        <v>5.6</v>
      </c>
      <c r="J271">
        <v>554.4</v>
      </c>
      <c r="M271" t="str">
        <v>244</v>
      </c>
      <c r="N271" t="str">
        <v>Husein Augar</v>
      </c>
      <c r="O271" t="str">
        <v>Australia</v>
      </c>
      <c r="P271" t="str">
        <v>Baker's Choco Chips</v>
      </c>
      <c r="Q271">
        <v>2436</v>
      </c>
      <c r="R271">
        <v>99</v>
      </c>
      <c r="S271">
        <v>5.6</v>
      </c>
      <c r="T271">
        <v>554.4</v>
      </c>
    </row>
    <row r="272" spans="4:20" x14ac:dyDescent="0.3">
      <c r="D272" t="s">
        <v>238</v>
      </c>
      <c r="E272" t="s">
        <v>247</v>
      </c>
      <c r="F272" t="s">
        <v>246</v>
      </c>
      <c r="G272">
        <v>9506</v>
      </c>
      <c r="H272">
        <v>87</v>
      </c>
      <c r="I272">
        <v>12.37</v>
      </c>
      <c r="J272">
        <v>1076.19</v>
      </c>
      <c r="M272" t="str">
        <v>245</v>
      </c>
      <c r="N272" t="str">
        <v>Husein Augar</v>
      </c>
      <c r="O272" t="str">
        <v>Australia</v>
      </c>
      <c r="P272" t="str">
        <v>Peanut Butter Cubes</v>
      </c>
      <c r="Q272">
        <v>9506</v>
      </c>
      <c r="R272">
        <v>87</v>
      </c>
      <c r="S272">
        <v>12.37</v>
      </c>
      <c r="T272">
        <v>1076.19</v>
      </c>
    </row>
    <row r="273" spans="4:20" x14ac:dyDescent="0.3">
      <c r="D273" t="s">
        <v>262</v>
      </c>
      <c r="E273" t="s">
        <v>233</v>
      </c>
      <c r="F273" t="s">
        <v>268</v>
      </c>
      <c r="G273">
        <v>245</v>
      </c>
      <c r="H273">
        <v>288</v>
      </c>
      <c r="I273">
        <v>9</v>
      </c>
      <c r="J273">
        <v>2592</v>
      </c>
      <c r="M273" t="str">
        <v>246</v>
      </c>
      <c r="N273" t="str">
        <v>Oby Sorrel</v>
      </c>
      <c r="O273" t="str">
        <v>New Zealand</v>
      </c>
      <c r="P273" t="str">
        <v>Spicy Special Slims</v>
      </c>
      <c r="Q273">
        <v>245</v>
      </c>
      <c r="R273">
        <v>288</v>
      </c>
      <c r="S273">
        <v>9</v>
      </c>
      <c r="T273">
        <v>2592</v>
      </c>
    </row>
    <row r="274" spans="4:20" x14ac:dyDescent="0.3">
      <c r="D274" t="s">
        <v>235</v>
      </c>
      <c r="E274" t="s">
        <v>236</v>
      </c>
      <c r="F274" t="s">
        <v>260</v>
      </c>
      <c r="G274">
        <v>2702</v>
      </c>
      <c r="H274">
        <v>363</v>
      </c>
      <c r="I274">
        <v>10.62</v>
      </c>
      <c r="J274">
        <v>3855.06</v>
      </c>
      <c r="M274" t="str">
        <v>247</v>
      </c>
      <c r="N274" t="str">
        <v>Brien Boise</v>
      </c>
      <c r="O274" t="str">
        <v>USA</v>
      </c>
      <c r="P274" t="str">
        <v>Orange Choco</v>
      </c>
      <c r="Q274">
        <v>2702</v>
      </c>
      <c r="R274">
        <v>363</v>
      </c>
      <c r="S274">
        <v>10.62</v>
      </c>
      <c r="T274">
        <v>3855.06</v>
      </c>
    </row>
    <row r="275" spans="4:20" x14ac:dyDescent="0.3">
      <c r="D275" t="s">
        <v>262</v>
      </c>
      <c r="E275" t="s">
        <v>257</v>
      </c>
      <c r="F275" t="s">
        <v>255</v>
      </c>
      <c r="G275">
        <v>700</v>
      </c>
      <c r="H275">
        <v>87</v>
      </c>
      <c r="I275">
        <v>3.11</v>
      </c>
      <c r="J275">
        <v>270.57</v>
      </c>
      <c r="M275" t="str">
        <v>248</v>
      </c>
      <c r="N275" t="str">
        <v>Oby Sorrel</v>
      </c>
      <c r="O275" t="str">
        <v>India</v>
      </c>
      <c r="P275" t="str">
        <v>Eclairs</v>
      </c>
      <c r="Q275">
        <v>700</v>
      </c>
      <c r="R275">
        <v>87</v>
      </c>
      <c r="S275">
        <v>3.11</v>
      </c>
      <c r="T275">
        <v>270.57</v>
      </c>
    </row>
    <row r="276" spans="4:20" x14ac:dyDescent="0.3">
      <c r="D276" t="s">
        <v>243</v>
      </c>
      <c r="E276" t="s">
        <v>257</v>
      </c>
      <c r="F276" t="s">
        <v>255</v>
      </c>
      <c r="G276">
        <v>3759</v>
      </c>
      <c r="H276">
        <v>150</v>
      </c>
      <c r="I276">
        <v>3.11</v>
      </c>
      <c r="J276">
        <v>466.5</v>
      </c>
      <c r="M276" t="str">
        <v>249</v>
      </c>
      <c r="N276" t="str">
        <v>Curtice Advani</v>
      </c>
      <c r="O276" t="str">
        <v>India</v>
      </c>
      <c r="P276" t="str">
        <v>Eclairs</v>
      </c>
      <c r="Q276">
        <v>3759</v>
      </c>
      <c r="R276">
        <v>150</v>
      </c>
      <c r="S276">
        <v>3.11</v>
      </c>
      <c r="T276">
        <v>466.5</v>
      </c>
    </row>
    <row r="277" spans="4:20" x14ac:dyDescent="0.3">
      <c r="D277" t="s">
        <v>253</v>
      </c>
      <c r="E277" t="s">
        <v>236</v>
      </c>
      <c r="F277" t="s">
        <v>255</v>
      </c>
      <c r="G277">
        <v>1589</v>
      </c>
      <c r="H277">
        <v>303</v>
      </c>
      <c r="I277">
        <v>3.11</v>
      </c>
      <c r="J277">
        <v>942.33</v>
      </c>
      <c r="M277" t="str">
        <v>250</v>
      </c>
      <c r="N277" t="str">
        <v>Barr Faughny</v>
      </c>
      <c r="O277" t="str">
        <v>USA</v>
      </c>
      <c r="P277" t="str">
        <v>Eclairs</v>
      </c>
      <c r="Q277">
        <v>1589</v>
      </c>
      <c r="R277">
        <v>303</v>
      </c>
      <c r="S277">
        <v>3.11</v>
      </c>
      <c r="T277">
        <v>942.33</v>
      </c>
    </row>
    <row r="278" spans="4:20" x14ac:dyDescent="0.3">
      <c r="D278" t="s">
        <v>250</v>
      </c>
      <c r="E278" t="s">
        <v>236</v>
      </c>
      <c r="F278" t="s">
        <v>267</v>
      </c>
      <c r="G278">
        <v>5194</v>
      </c>
      <c r="H278">
        <v>288</v>
      </c>
      <c r="I278">
        <v>10.38</v>
      </c>
      <c r="J278">
        <v>2989.44</v>
      </c>
      <c r="M278" t="str">
        <v>251</v>
      </c>
      <c r="N278" t="str">
        <v>Ches Bonnell</v>
      </c>
      <c r="O278" t="str">
        <v>USA</v>
      </c>
      <c r="P278" t="str">
        <v>Caramel Stuffed Bars</v>
      </c>
      <c r="Q278">
        <v>5194</v>
      </c>
      <c r="R278">
        <v>288</v>
      </c>
      <c r="S278">
        <v>10.38</v>
      </c>
      <c r="T278">
        <v>2989.44</v>
      </c>
    </row>
    <row r="279" spans="4:20" x14ac:dyDescent="0.3">
      <c r="D279" t="s">
        <v>262</v>
      </c>
      <c r="E279" t="s">
        <v>241</v>
      </c>
      <c r="F279" t="s">
        <v>258</v>
      </c>
      <c r="G279">
        <v>945</v>
      </c>
      <c r="H279">
        <v>75</v>
      </c>
      <c r="I279">
        <v>9.33</v>
      </c>
      <c r="J279">
        <v>699.75</v>
      </c>
      <c r="M279" t="str">
        <v>252</v>
      </c>
      <c r="N279" t="str">
        <v>Oby Sorrel</v>
      </c>
      <c r="O279" t="str">
        <v>Canada</v>
      </c>
      <c r="P279" t="str">
        <v>Milk Bars</v>
      </c>
      <c r="Q279">
        <v>945</v>
      </c>
      <c r="R279">
        <v>75</v>
      </c>
      <c r="S279">
        <v>9.33</v>
      </c>
      <c r="T279">
        <v>699.75</v>
      </c>
    </row>
    <row r="280" spans="4:20" x14ac:dyDescent="0.3">
      <c r="D280" t="s">
        <v>232</v>
      </c>
      <c r="E280" t="s">
        <v>247</v>
      </c>
      <c r="F280" t="s">
        <v>248</v>
      </c>
      <c r="G280">
        <v>1988</v>
      </c>
      <c r="H280">
        <v>39</v>
      </c>
      <c r="I280">
        <v>5.79</v>
      </c>
      <c r="J280">
        <v>225.81</v>
      </c>
      <c r="M280" t="str">
        <v>253</v>
      </c>
      <c r="N280" t="str">
        <v>Ram Mahesh</v>
      </c>
      <c r="O280" t="str">
        <v>Australia</v>
      </c>
      <c r="P280" t="str">
        <v>Smooth Sliky Salty</v>
      </c>
      <c r="Q280">
        <v>1988</v>
      </c>
      <c r="R280">
        <v>39</v>
      </c>
      <c r="S280">
        <v>5.79</v>
      </c>
      <c r="T280">
        <v>225.81</v>
      </c>
    </row>
    <row r="281" spans="4:20" x14ac:dyDescent="0.3">
      <c r="D281" t="s">
        <v>243</v>
      </c>
      <c r="E281" t="s">
        <v>257</v>
      </c>
      <c r="F281" t="s">
        <v>237</v>
      </c>
      <c r="G281">
        <v>6734</v>
      </c>
      <c r="H281">
        <v>123</v>
      </c>
      <c r="I281">
        <v>8.65</v>
      </c>
      <c r="J281">
        <v>1063.95</v>
      </c>
      <c r="M281" t="str">
        <v>254</v>
      </c>
      <c r="N281" t="str">
        <v>Curtice Advani</v>
      </c>
      <c r="O281" t="str">
        <v>India</v>
      </c>
      <c r="P281" t="str">
        <v>Choco Coated Almonds</v>
      </c>
      <c r="Q281">
        <v>6734</v>
      </c>
      <c r="R281">
        <v>123</v>
      </c>
      <c r="S281">
        <v>8.65</v>
      </c>
      <c r="T281">
        <v>1063.95</v>
      </c>
    </row>
    <row r="282" spans="4:20" x14ac:dyDescent="0.3">
      <c r="D282" t="s">
        <v>232</v>
      </c>
      <c r="E282" t="s">
        <v>241</v>
      </c>
      <c r="F282" t="s">
        <v>239</v>
      </c>
      <c r="G282">
        <v>217</v>
      </c>
      <c r="H282">
        <v>36</v>
      </c>
      <c r="I282">
        <v>11.88</v>
      </c>
      <c r="J282">
        <v>427.68</v>
      </c>
      <c r="M282" t="str">
        <v>255</v>
      </c>
      <c r="N282" t="str">
        <v>Ram Mahesh</v>
      </c>
      <c r="O282" t="str">
        <v>Canada</v>
      </c>
      <c r="P282" t="str">
        <v>Almond Choco</v>
      </c>
      <c r="Q282">
        <v>217</v>
      </c>
      <c r="R282">
        <v>36</v>
      </c>
      <c r="S282">
        <v>11.88</v>
      </c>
      <c r="T282">
        <v>427.68</v>
      </c>
    </row>
    <row r="283" spans="4:20" x14ac:dyDescent="0.3">
      <c r="D283" t="s">
        <v>252</v>
      </c>
      <c r="E283" t="s">
        <v>257</v>
      </c>
      <c r="F283" t="s">
        <v>249</v>
      </c>
      <c r="G283">
        <v>6279</v>
      </c>
      <c r="H283">
        <v>237</v>
      </c>
      <c r="I283">
        <v>9.77</v>
      </c>
      <c r="J283">
        <v>2315.4899999999998</v>
      </c>
      <c r="M283" t="str">
        <v>256</v>
      </c>
      <c r="N283" t="str">
        <v>Gigi Bohling</v>
      </c>
      <c r="O283" t="str">
        <v>India</v>
      </c>
      <c r="P283" t="str">
        <v>After Nines</v>
      </c>
      <c r="Q283">
        <v>6279</v>
      </c>
      <c r="R283">
        <v>237</v>
      </c>
      <c r="S283">
        <v>9.77</v>
      </c>
      <c r="T283">
        <v>2315.4899999999998</v>
      </c>
    </row>
    <row r="284" spans="4:20" x14ac:dyDescent="0.3">
      <c r="D284" t="s">
        <v>232</v>
      </c>
      <c r="E284" t="s">
        <v>241</v>
      </c>
      <c r="F284" t="s">
        <v>258</v>
      </c>
      <c r="G284">
        <v>4424</v>
      </c>
      <c r="H284">
        <v>201</v>
      </c>
      <c r="I284">
        <v>9.33</v>
      </c>
      <c r="J284">
        <v>1875.33</v>
      </c>
      <c r="M284" t="str">
        <v>257</v>
      </c>
      <c r="N284" t="str">
        <v>Ram Mahesh</v>
      </c>
      <c r="O284" t="str">
        <v>Canada</v>
      </c>
      <c r="P284" t="str">
        <v>Milk Bars</v>
      </c>
      <c r="Q284">
        <v>4424</v>
      </c>
      <c r="R284">
        <v>201</v>
      </c>
      <c r="S284">
        <v>9.33</v>
      </c>
      <c r="T284">
        <v>1875.33</v>
      </c>
    </row>
    <row r="285" spans="4:20" x14ac:dyDescent="0.3">
      <c r="D285" t="s">
        <v>253</v>
      </c>
      <c r="E285" t="s">
        <v>241</v>
      </c>
      <c r="F285" t="s">
        <v>255</v>
      </c>
      <c r="G285">
        <v>189</v>
      </c>
      <c r="H285">
        <v>48</v>
      </c>
      <c r="I285">
        <v>3.11</v>
      </c>
      <c r="J285">
        <v>149.28</v>
      </c>
      <c r="M285" t="str">
        <v>258</v>
      </c>
      <c r="N285" t="str">
        <v>Barr Faughny</v>
      </c>
      <c r="O285" t="str">
        <v>Canada</v>
      </c>
      <c r="P285" t="str">
        <v>Eclairs</v>
      </c>
      <c r="Q285">
        <v>189</v>
      </c>
      <c r="R285">
        <v>48</v>
      </c>
      <c r="S285">
        <v>3.11</v>
      </c>
      <c r="T285">
        <v>149.28</v>
      </c>
    </row>
    <row r="286" spans="4:20" x14ac:dyDescent="0.3">
      <c r="D286" t="s">
        <v>252</v>
      </c>
      <c r="E286" t="s">
        <v>236</v>
      </c>
      <c r="F286" t="s">
        <v>249</v>
      </c>
      <c r="G286">
        <v>490</v>
      </c>
      <c r="H286">
        <v>84</v>
      </c>
      <c r="I286">
        <v>9.77</v>
      </c>
      <c r="J286">
        <v>820.68</v>
      </c>
      <c r="M286" t="str">
        <v>259</v>
      </c>
      <c r="N286" t="str">
        <v>Gigi Bohling</v>
      </c>
      <c r="O286" t="str">
        <v>USA</v>
      </c>
      <c r="P286" t="str">
        <v>After Nines</v>
      </c>
      <c r="Q286">
        <v>490</v>
      </c>
      <c r="R286">
        <v>84</v>
      </c>
      <c r="S286">
        <v>9.77</v>
      </c>
      <c r="T286">
        <v>820.68</v>
      </c>
    </row>
    <row r="287" spans="4:20" x14ac:dyDescent="0.3">
      <c r="D287" t="s">
        <v>235</v>
      </c>
      <c r="E287" t="s">
        <v>233</v>
      </c>
      <c r="F287" t="s">
        <v>268</v>
      </c>
      <c r="G287">
        <v>434</v>
      </c>
      <c r="H287">
        <v>87</v>
      </c>
      <c r="I287">
        <v>9</v>
      </c>
      <c r="J287">
        <v>783</v>
      </c>
      <c r="M287" t="str">
        <v>260</v>
      </c>
      <c r="N287" t="str">
        <v>Brien Boise</v>
      </c>
      <c r="O287" t="str">
        <v>New Zealand</v>
      </c>
      <c r="P287" t="str">
        <v>Spicy Special Slims</v>
      </c>
      <c r="Q287">
        <v>434</v>
      </c>
      <c r="R287">
        <v>87</v>
      </c>
      <c r="S287">
        <v>9</v>
      </c>
      <c r="T287">
        <v>783</v>
      </c>
    </row>
    <row r="288" spans="4:20" x14ac:dyDescent="0.3">
      <c r="D288" t="s">
        <v>250</v>
      </c>
      <c r="E288" t="s">
        <v>247</v>
      </c>
      <c r="F288" t="s">
        <v>234</v>
      </c>
      <c r="G288">
        <v>10129</v>
      </c>
      <c r="H288">
        <v>312</v>
      </c>
      <c r="I288">
        <v>14.49</v>
      </c>
      <c r="J288">
        <v>4520.88</v>
      </c>
      <c r="M288" t="str">
        <v>261</v>
      </c>
      <c r="N288" t="str">
        <v>Ches Bonnell</v>
      </c>
      <c r="O288" t="str">
        <v>Australia</v>
      </c>
      <c r="P288" t="str">
        <v>70% Dark Bites</v>
      </c>
      <c r="Q288">
        <v>10129</v>
      </c>
      <c r="R288">
        <v>312</v>
      </c>
      <c r="S288">
        <v>14.49</v>
      </c>
      <c r="T288">
        <v>4520.88</v>
      </c>
    </row>
    <row r="289" spans="4:20" x14ac:dyDescent="0.3">
      <c r="D289" t="s">
        <v>254</v>
      </c>
      <c r="E289" t="s">
        <v>244</v>
      </c>
      <c r="F289" t="s">
        <v>267</v>
      </c>
      <c r="G289">
        <v>1652</v>
      </c>
      <c r="H289">
        <v>102</v>
      </c>
      <c r="I289">
        <v>10.38</v>
      </c>
      <c r="J289">
        <v>1058.76</v>
      </c>
      <c r="M289" t="str">
        <v>262</v>
      </c>
      <c r="N289" t="str">
        <v>Gunar Cockshoot</v>
      </c>
      <c r="O289" t="str">
        <v>UK</v>
      </c>
      <c r="P289" t="str">
        <v>Caramel Stuffed Bars</v>
      </c>
      <c r="Q289">
        <v>1652</v>
      </c>
      <c r="R289">
        <v>102</v>
      </c>
      <c r="S289">
        <v>10.38</v>
      </c>
      <c r="T289">
        <v>1058.76</v>
      </c>
    </row>
    <row r="290" spans="4:20" x14ac:dyDescent="0.3">
      <c r="D290" t="s">
        <v>235</v>
      </c>
      <c r="E290" t="s">
        <v>247</v>
      </c>
      <c r="F290" t="s">
        <v>268</v>
      </c>
      <c r="G290">
        <v>6433</v>
      </c>
      <c r="H290">
        <v>78</v>
      </c>
      <c r="I290">
        <v>9</v>
      </c>
      <c r="J290">
        <v>702</v>
      </c>
      <c r="M290" t="str">
        <v>263</v>
      </c>
      <c r="N290" t="str">
        <v>Brien Boise</v>
      </c>
      <c r="O290" t="str">
        <v>Australia</v>
      </c>
      <c r="P290" t="str">
        <v>Spicy Special Slims</v>
      </c>
      <c r="Q290">
        <v>6433</v>
      </c>
      <c r="R290">
        <v>78</v>
      </c>
      <c r="S290">
        <v>9</v>
      </c>
      <c r="T290">
        <v>702</v>
      </c>
    </row>
    <row r="291" spans="4:20" x14ac:dyDescent="0.3">
      <c r="D291" t="s">
        <v>254</v>
      </c>
      <c r="E291" t="s">
        <v>257</v>
      </c>
      <c r="F291" t="s">
        <v>261</v>
      </c>
      <c r="G291">
        <v>2212</v>
      </c>
      <c r="H291">
        <v>117</v>
      </c>
      <c r="I291">
        <v>6.49</v>
      </c>
      <c r="J291">
        <v>759.33</v>
      </c>
      <c r="M291" t="str">
        <v>264</v>
      </c>
      <c r="N291" t="str">
        <v>Gunar Cockshoot</v>
      </c>
      <c r="O291" t="str">
        <v>India</v>
      </c>
      <c r="P291" t="str">
        <v>Fruit &amp; Nut Bars</v>
      </c>
      <c r="Q291">
        <v>2212</v>
      </c>
      <c r="R291">
        <v>117</v>
      </c>
      <c r="S291">
        <v>6.49</v>
      </c>
      <c r="T291">
        <v>759.33</v>
      </c>
    </row>
    <row r="292" spans="4:20" x14ac:dyDescent="0.3">
      <c r="D292" t="s">
        <v>240</v>
      </c>
      <c r="E292" t="s">
        <v>236</v>
      </c>
      <c r="F292" t="s">
        <v>263</v>
      </c>
      <c r="G292">
        <v>609</v>
      </c>
      <c r="H292">
        <v>99</v>
      </c>
      <c r="I292">
        <v>7.64</v>
      </c>
      <c r="J292">
        <v>756.36</v>
      </c>
      <c r="M292" t="str">
        <v>265</v>
      </c>
      <c r="N292" t="str">
        <v>Carla Molina</v>
      </c>
      <c r="O292" t="str">
        <v>USA</v>
      </c>
      <c r="P292" t="str">
        <v>99% Dark &amp; Pure</v>
      </c>
      <c r="Q292">
        <v>609</v>
      </c>
      <c r="R292">
        <v>99</v>
      </c>
      <c r="S292">
        <v>7.64</v>
      </c>
      <c r="T292">
        <v>756.36</v>
      </c>
    </row>
    <row r="293" spans="4:20" x14ac:dyDescent="0.3">
      <c r="D293" t="s">
        <v>232</v>
      </c>
      <c r="E293" t="s">
        <v>236</v>
      </c>
      <c r="F293" t="s">
        <v>265</v>
      </c>
      <c r="G293">
        <v>1638</v>
      </c>
      <c r="H293">
        <v>48</v>
      </c>
      <c r="I293">
        <v>4.97</v>
      </c>
      <c r="J293">
        <v>238.56</v>
      </c>
      <c r="M293" t="str">
        <v>266</v>
      </c>
      <c r="N293" t="str">
        <v>Ram Mahesh</v>
      </c>
      <c r="O293" t="str">
        <v>USA</v>
      </c>
      <c r="P293" t="str">
        <v>85% Dark Bars</v>
      </c>
      <c r="Q293">
        <v>1638</v>
      </c>
      <c r="R293">
        <v>48</v>
      </c>
      <c r="S293">
        <v>4.97</v>
      </c>
      <c r="T293">
        <v>238.56</v>
      </c>
    </row>
    <row r="294" spans="4:20" x14ac:dyDescent="0.3">
      <c r="D294" t="s">
        <v>250</v>
      </c>
      <c r="E294" t="s">
        <v>257</v>
      </c>
      <c r="F294" t="s">
        <v>264</v>
      </c>
      <c r="G294">
        <v>3829</v>
      </c>
      <c r="H294">
        <v>24</v>
      </c>
      <c r="I294">
        <v>11.73</v>
      </c>
      <c r="J294">
        <v>281.52</v>
      </c>
      <c r="M294" t="str">
        <v>267</v>
      </c>
      <c r="N294" t="str">
        <v>Ches Bonnell</v>
      </c>
      <c r="O294" t="str">
        <v>India</v>
      </c>
      <c r="P294" t="str">
        <v>Raspberry Choco</v>
      </c>
      <c r="Q294">
        <v>3829</v>
      </c>
      <c r="R294">
        <v>24</v>
      </c>
      <c r="S294">
        <v>11.73</v>
      </c>
      <c r="T294">
        <v>281.52</v>
      </c>
    </row>
    <row r="295" spans="4:20" x14ac:dyDescent="0.3">
      <c r="D295" t="s">
        <v>232</v>
      </c>
      <c r="E295" t="s">
        <v>244</v>
      </c>
      <c r="F295" t="s">
        <v>264</v>
      </c>
      <c r="G295">
        <v>5775</v>
      </c>
      <c r="H295">
        <v>42</v>
      </c>
      <c r="I295">
        <v>11.73</v>
      </c>
      <c r="J295">
        <v>492.66</v>
      </c>
      <c r="M295" t="str">
        <v>268</v>
      </c>
      <c r="N295" t="str">
        <v>Ram Mahesh</v>
      </c>
      <c r="O295" t="str">
        <v>UK</v>
      </c>
      <c r="P295" t="str">
        <v>Raspberry Choco</v>
      </c>
      <c r="Q295">
        <v>5775</v>
      </c>
      <c r="R295">
        <v>42</v>
      </c>
      <c r="S295">
        <v>11.73</v>
      </c>
      <c r="T295">
        <v>492.66</v>
      </c>
    </row>
    <row r="296" spans="4:20" x14ac:dyDescent="0.3">
      <c r="D296" t="s">
        <v>243</v>
      </c>
      <c r="E296" t="s">
        <v>236</v>
      </c>
      <c r="F296" t="s">
        <v>260</v>
      </c>
      <c r="G296">
        <v>1071</v>
      </c>
      <c r="H296">
        <v>270</v>
      </c>
      <c r="I296">
        <v>10.62</v>
      </c>
      <c r="J296">
        <v>2867.4</v>
      </c>
      <c r="M296" t="str">
        <v>269</v>
      </c>
      <c r="N296" t="str">
        <v>Curtice Advani</v>
      </c>
      <c r="O296" t="str">
        <v>USA</v>
      </c>
      <c r="P296" t="str">
        <v>Orange Choco</v>
      </c>
      <c r="Q296">
        <v>1071</v>
      </c>
      <c r="R296">
        <v>270</v>
      </c>
      <c r="S296">
        <v>10.62</v>
      </c>
      <c r="T296">
        <v>2867.4</v>
      </c>
    </row>
    <row r="297" spans="4:20" x14ac:dyDescent="0.3">
      <c r="D297" t="s">
        <v>235</v>
      </c>
      <c r="E297" t="s">
        <v>241</v>
      </c>
      <c r="F297" t="s">
        <v>261</v>
      </c>
      <c r="G297">
        <v>5019</v>
      </c>
      <c r="H297">
        <v>150</v>
      </c>
      <c r="I297">
        <v>6.49</v>
      </c>
      <c r="J297">
        <v>973.5</v>
      </c>
      <c r="M297" t="str">
        <v>270</v>
      </c>
      <c r="N297" t="str">
        <v>Brien Boise</v>
      </c>
      <c r="O297" t="str">
        <v>Canada</v>
      </c>
      <c r="P297" t="str">
        <v>Fruit &amp; Nut Bars</v>
      </c>
      <c r="Q297">
        <v>5019</v>
      </c>
      <c r="R297">
        <v>150</v>
      </c>
      <c r="S297">
        <v>6.49</v>
      </c>
      <c r="T297">
        <v>973.5</v>
      </c>
    </row>
    <row r="298" spans="4:20" x14ac:dyDescent="0.3">
      <c r="D298" t="s">
        <v>253</v>
      </c>
      <c r="E298" t="s">
        <v>233</v>
      </c>
      <c r="F298" t="s">
        <v>264</v>
      </c>
      <c r="G298">
        <v>2863</v>
      </c>
      <c r="H298">
        <v>42</v>
      </c>
      <c r="I298">
        <v>11.73</v>
      </c>
      <c r="J298">
        <v>492.66</v>
      </c>
      <c r="M298" t="str">
        <v>271</v>
      </c>
      <c r="N298" t="str">
        <v>Barr Faughny</v>
      </c>
      <c r="O298" t="str">
        <v>New Zealand</v>
      </c>
      <c r="P298" t="str">
        <v>Raspberry Choco</v>
      </c>
      <c r="Q298">
        <v>2863</v>
      </c>
      <c r="R298">
        <v>42</v>
      </c>
      <c r="S298">
        <v>11.73</v>
      </c>
      <c r="T298">
        <v>492.66</v>
      </c>
    </row>
    <row r="299" spans="4:20" x14ac:dyDescent="0.3">
      <c r="D299" t="s">
        <v>232</v>
      </c>
      <c r="E299" t="s">
        <v>236</v>
      </c>
      <c r="F299" t="s">
        <v>259</v>
      </c>
      <c r="G299">
        <v>1617</v>
      </c>
      <c r="H299">
        <v>126</v>
      </c>
      <c r="I299">
        <v>7.16</v>
      </c>
      <c r="J299">
        <v>902.16</v>
      </c>
      <c r="M299" t="str">
        <v>272</v>
      </c>
      <c r="N299" t="str">
        <v>Ram Mahesh</v>
      </c>
      <c r="O299" t="str">
        <v>USA</v>
      </c>
      <c r="P299" t="str">
        <v>Manuka Honey Choco</v>
      </c>
      <c r="Q299">
        <v>1617</v>
      </c>
      <c r="R299">
        <v>126</v>
      </c>
      <c r="S299">
        <v>7.16</v>
      </c>
      <c r="T299">
        <v>902.16</v>
      </c>
    </row>
    <row r="300" spans="4:20" x14ac:dyDescent="0.3">
      <c r="D300" t="s">
        <v>243</v>
      </c>
      <c r="E300" t="s">
        <v>233</v>
      </c>
      <c r="F300" t="s">
        <v>269</v>
      </c>
      <c r="G300">
        <v>6818</v>
      </c>
      <c r="H300">
        <v>6</v>
      </c>
      <c r="I300">
        <v>5.6</v>
      </c>
      <c r="J300">
        <v>33.6</v>
      </c>
      <c r="M300" t="str">
        <v>273</v>
      </c>
      <c r="N300" t="str">
        <v>Curtice Advani</v>
      </c>
      <c r="O300" t="str">
        <v>New Zealand</v>
      </c>
      <c r="P300" t="str">
        <v>Baker's Choco Chips</v>
      </c>
      <c r="Q300">
        <v>6818</v>
      </c>
      <c r="R300">
        <v>6</v>
      </c>
      <c r="S300">
        <v>5.6</v>
      </c>
      <c r="T300">
        <v>33.6</v>
      </c>
    </row>
    <row r="301" spans="4:20" x14ac:dyDescent="0.3">
      <c r="D301" t="s">
        <v>254</v>
      </c>
      <c r="E301" t="s">
        <v>236</v>
      </c>
      <c r="F301" t="s">
        <v>264</v>
      </c>
      <c r="G301">
        <v>6657</v>
      </c>
      <c r="H301">
        <v>276</v>
      </c>
      <c r="I301">
        <v>11.73</v>
      </c>
      <c r="J301">
        <v>3237.48</v>
      </c>
      <c r="M301" t="str">
        <v>274</v>
      </c>
      <c r="N301" t="str">
        <v>Gunar Cockshoot</v>
      </c>
      <c r="O301" t="str">
        <v>USA</v>
      </c>
      <c r="P301" t="str">
        <v>Raspberry Choco</v>
      </c>
      <c r="Q301">
        <v>6657</v>
      </c>
      <c r="R301">
        <v>276</v>
      </c>
      <c r="S301">
        <v>11.73</v>
      </c>
      <c r="T301">
        <v>3237.48</v>
      </c>
    </row>
    <row r="302" spans="4:20" x14ac:dyDescent="0.3">
      <c r="D302" t="s">
        <v>254</v>
      </c>
      <c r="E302" t="s">
        <v>257</v>
      </c>
      <c r="F302" t="s">
        <v>255</v>
      </c>
      <c r="G302">
        <v>2919</v>
      </c>
      <c r="H302">
        <v>93</v>
      </c>
      <c r="I302">
        <v>3.11</v>
      </c>
      <c r="J302">
        <v>289.23</v>
      </c>
      <c r="M302" t="str">
        <v>275</v>
      </c>
      <c r="N302" t="str">
        <v>Gunar Cockshoot</v>
      </c>
      <c r="O302" t="str">
        <v>India</v>
      </c>
      <c r="P302" t="str">
        <v>Eclairs</v>
      </c>
      <c r="Q302">
        <v>2919</v>
      </c>
      <c r="R302">
        <v>93</v>
      </c>
      <c r="S302">
        <v>3.11</v>
      </c>
      <c r="T302">
        <v>289.23</v>
      </c>
    </row>
    <row r="303" spans="4:20" x14ac:dyDescent="0.3">
      <c r="D303" t="s">
        <v>253</v>
      </c>
      <c r="E303" t="s">
        <v>241</v>
      </c>
      <c r="F303" t="s">
        <v>248</v>
      </c>
      <c r="G303">
        <v>3094</v>
      </c>
      <c r="H303">
        <v>246</v>
      </c>
      <c r="I303">
        <v>5.79</v>
      </c>
      <c r="J303">
        <v>1424.34</v>
      </c>
      <c r="M303" t="str">
        <v>276</v>
      </c>
      <c r="N303" t="str">
        <v>Barr Faughny</v>
      </c>
      <c r="O303" t="str">
        <v>Canada</v>
      </c>
      <c r="P303" t="str">
        <v>Smooth Sliky Salty</v>
      </c>
      <c r="Q303">
        <v>3094</v>
      </c>
      <c r="R303">
        <v>246</v>
      </c>
      <c r="S303">
        <v>5.79</v>
      </c>
      <c r="T303">
        <v>1424.34</v>
      </c>
    </row>
    <row r="304" spans="4:20" x14ac:dyDescent="0.3">
      <c r="D304" t="s">
        <v>243</v>
      </c>
      <c r="E304" t="s">
        <v>244</v>
      </c>
      <c r="F304" t="s">
        <v>265</v>
      </c>
      <c r="G304">
        <v>2989</v>
      </c>
      <c r="H304">
        <v>3</v>
      </c>
      <c r="I304">
        <v>4.97</v>
      </c>
      <c r="J304">
        <v>14.91</v>
      </c>
      <c r="M304" t="str">
        <v>277</v>
      </c>
      <c r="N304" t="str">
        <v>Curtice Advani</v>
      </c>
      <c r="O304" t="str">
        <v>UK</v>
      </c>
      <c r="P304" t="str">
        <v>85% Dark Bars</v>
      </c>
      <c r="Q304">
        <v>2989</v>
      </c>
      <c r="R304">
        <v>3</v>
      </c>
      <c r="S304">
        <v>4.97</v>
      </c>
      <c r="T304">
        <v>14.91</v>
      </c>
    </row>
    <row r="305" spans="4:20" x14ac:dyDescent="0.3">
      <c r="D305" t="s">
        <v>235</v>
      </c>
      <c r="E305" t="s">
        <v>247</v>
      </c>
      <c r="F305" t="s">
        <v>266</v>
      </c>
      <c r="G305">
        <v>2268</v>
      </c>
      <c r="H305">
        <v>63</v>
      </c>
      <c r="I305">
        <v>16.73</v>
      </c>
      <c r="J305">
        <v>1053.99</v>
      </c>
      <c r="M305" t="str">
        <v>278</v>
      </c>
      <c r="N305" t="str">
        <v>Brien Boise</v>
      </c>
      <c r="O305" t="str">
        <v>Australia</v>
      </c>
      <c r="P305" t="str">
        <v>Organic Choco Syrup</v>
      </c>
      <c r="Q305">
        <v>2268</v>
      </c>
      <c r="R305">
        <v>63</v>
      </c>
      <c r="S305">
        <v>16.73</v>
      </c>
      <c r="T305">
        <v>1053.99</v>
      </c>
    </row>
    <row r="306" spans="4:20" x14ac:dyDescent="0.3">
      <c r="D306" t="s">
        <v>252</v>
      </c>
      <c r="E306" t="s">
        <v>236</v>
      </c>
      <c r="F306" t="s">
        <v>248</v>
      </c>
      <c r="G306">
        <v>4753</v>
      </c>
      <c r="H306">
        <v>246</v>
      </c>
      <c r="I306">
        <v>5.79</v>
      </c>
      <c r="J306">
        <v>1424.34</v>
      </c>
      <c r="M306" t="str">
        <v>279</v>
      </c>
      <c r="N306" t="str">
        <v>Gigi Bohling</v>
      </c>
      <c r="O306" t="str">
        <v>USA</v>
      </c>
      <c r="P306" t="str">
        <v>Smooth Sliky Salty</v>
      </c>
      <c r="Q306">
        <v>4753</v>
      </c>
      <c r="R306">
        <v>246</v>
      </c>
      <c r="S306">
        <v>5.79</v>
      </c>
      <c r="T306">
        <v>1424.34</v>
      </c>
    </row>
    <row r="307" spans="4:20" x14ac:dyDescent="0.3">
      <c r="D307" t="s">
        <v>253</v>
      </c>
      <c r="E307" t="s">
        <v>257</v>
      </c>
      <c r="F307" t="s">
        <v>263</v>
      </c>
      <c r="G307">
        <v>7511</v>
      </c>
      <c r="H307">
        <v>120</v>
      </c>
      <c r="I307">
        <v>7.64</v>
      </c>
      <c r="J307">
        <v>916.8</v>
      </c>
      <c r="M307" t="str">
        <v>280</v>
      </c>
      <c r="N307" t="str">
        <v>Barr Faughny</v>
      </c>
      <c r="O307" t="str">
        <v>India</v>
      </c>
      <c r="P307" t="str">
        <v>99% Dark &amp; Pure</v>
      </c>
      <c r="Q307">
        <v>7511</v>
      </c>
      <c r="R307">
        <v>120</v>
      </c>
      <c r="S307">
        <v>7.64</v>
      </c>
      <c r="T307">
        <v>916.8</v>
      </c>
    </row>
    <row r="308" spans="4:20" x14ac:dyDescent="0.3">
      <c r="D308" t="s">
        <v>253</v>
      </c>
      <c r="E308" t="s">
        <v>247</v>
      </c>
      <c r="F308" t="s">
        <v>248</v>
      </c>
      <c r="G308">
        <v>4326</v>
      </c>
      <c r="H308">
        <v>348</v>
      </c>
      <c r="I308">
        <v>5.79</v>
      </c>
      <c r="J308">
        <v>2014.92</v>
      </c>
      <c r="M308" t="str">
        <v>281</v>
      </c>
      <c r="N308" t="str">
        <v>Barr Faughny</v>
      </c>
      <c r="O308" t="str">
        <v>Australia</v>
      </c>
      <c r="P308" t="str">
        <v>Smooth Sliky Salty</v>
      </c>
      <c r="Q308">
        <v>4326</v>
      </c>
      <c r="R308">
        <v>348</v>
      </c>
      <c r="S308">
        <v>5.79</v>
      </c>
      <c r="T308">
        <v>2014.92</v>
      </c>
    </row>
    <row r="309" spans="4:20" x14ac:dyDescent="0.3">
      <c r="D309" t="s">
        <v>240</v>
      </c>
      <c r="E309" t="s">
        <v>257</v>
      </c>
      <c r="F309" t="s">
        <v>261</v>
      </c>
      <c r="G309">
        <v>4935</v>
      </c>
      <c r="H309">
        <v>126</v>
      </c>
      <c r="I309">
        <v>6.49</v>
      </c>
      <c r="J309">
        <v>817.74</v>
      </c>
      <c r="M309" t="str">
        <v>282</v>
      </c>
      <c r="N309" t="str">
        <v>Carla Molina</v>
      </c>
      <c r="O309" t="str">
        <v>India</v>
      </c>
      <c r="P309" t="str">
        <v>Fruit &amp; Nut Bars</v>
      </c>
      <c r="Q309">
        <v>4935</v>
      </c>
      <c r="R309">
        <v>126</v>
      </c>
      <c r="S309">
        <v>6.49</v>
      </c>
      <c r="T309">
        <v>817.74</v>
      </c>
    </row>
    <row r="310" spans="4:20" x14ac:dyDescent="0.3">
      <c r="D310" t="s">
        <v>243</v>
      </c>
      <c r="E310" t="s">
        <v>236</v>
      </c>
      <c r="F310" t="s">
        <v>234</v>
      </c>
      <c r="G310">
        <v>4781</v>
      </c>
      <c r="H310">
        <v>123</v>
      </c>
      <c r="I310">
        <v>14.49</v>
      </c>
      <c r="J310">
        <v>1782.27</v>
      </c>
      <c r="M310" t="str">
        <v>283</v>
      </c>
      <c r="N310" t="str">
        <v>Curtice Advani</v>
      </c>
      <c r="O310" t="str">
        <v>USA</v>
      </c>
      <c r="P310" t="str">
        <v>70% Dark Bites</v>
      </c>
      <c r="Q310">
        <v>4781</v>
      </c>
      <c r="R310">
        <v>123</v>
      </c>
      <c r="S310">
        <v>14.49</v>
      </c>
      <c r="T310">
        <v>1782.27</v>
      </c>
    </row>
    <row r="311" spans="4:20" x14ac:dyDescent="0.3">
      <c r="D311" t="s">
        <v>252</v>
      </c>
      <c r="E311" t="s">
        <v>247</v>
      </c>
      <c r="F311" t="s">
        <v>245</v>
      </c>
      <c r="G311">
        <v>7483</v>
      </c>
      <c r="H311">
        <v>45</v>
      </c>
      <c r="I311">
        <v>13.15</v>
      </c>
      <c r="J311">
        <v>591.75</v>
      </c>
      <c r="M311" t="str">
        <v>284</v>
      </c>
      <c r="N311" t="str">
        <v>Gigi Bohling</v>
      </c>
      <c r="O311" t="str">
        <v>Australia</v>
      </c>
      <c r="P311" t="str">
        <v>White Choc</v>
      </c>
      <c r="Q311">
        <v>7483</v>
      </c>
      <c r="R311">
        <v>45</v>
      </c>
      <c r="S311">
        <v>13.15</v>
      </c>
      <c r="T311">
        <v>591.75</v>
      </c>
    </row>
    <row r="312" spans="4:20" x14ac:dyDescent="0.3">
      <c r="D312" t="s">
        <v>262</v>
      </c>
      <c r="E312" t="s">
        <v>247</v>
      </c>
      <c r="F312" t="s">
        <v>239</v>
      </c>
      <c r="G312">
        <v>6860</v>
      </c>
      <c r="H312">
        <v>126</v>
      </c>
      <c r="I312">
        <v>11.88</v>
      </c>
      <c r="J312">
        <v>1496.88</v>
      </c>
      <c r="M312" t="str">
        <v>285</v>
      </c>
      <c r="N312" t="str">
        <v>Oby Sorrel</v>
      </c>
      <c r="O312" t="str">
        <v>Australia</v>
      </c>
      <c r="P312" t="str">
        <v>Almond Choco</v>
      </c>
      <c r="Q312">
        <v>6860</v>
      </c>
      <c r="R312">
        <v>126</v>
      </c>
      <c r="S312">
        <v>11.88</v>
      </c>
      <c r="T312">
        <v>1496.88</v>
      </c>
    </row>
    <row r="313" spans="4:20" x14ac:dyDescent="0.3">
      <c r="D313" t="s">
        <v>232</v>
      </c>
      <c r="E313" t="s">
        <v>233</v>
      </c>
      <c r="F313" t="s">
        <v>259</v>
      </c>
      <c r="G313">
        <v>9002</v>
      </c>
      <c r="H313">
        <v>72</v>
      </c>
      <c r="I313">
        <v>7.16</v>
      </c>
      <c r="J313">
        <v>515.52</v>
      </c>
      <c r="M313" t="str">
        <v>286</v>
      </c>
      <c r="N313" t="str">
        <v>Ram Mahesh</v>
      </c>
      <c r="O313" t="str">
        <v>New Zealand</v>
      </c>
      <c r="P313" t="str">
        <v>Manuka Honey Choco</v>
      </c>
      <c r="Q313">
        <v>9002</v>
      </c>
      <c r="R313">
        <v>72</v>
      </c>
      <c r="S313">
        <v>7.16</v>
      </c>
      <c r="T313">
        <v>515.52</v>
      </c>
    </row>
    <row r="314" spans="4:20" x14ac:dyDescent="0.3">
      <c r="D314" t="s">
        <v>243</v>
      </c>
      <c r="E314" t="s">
        <v>241</v>
      </c>
      <c r="F314" t="s">
        <v>259</v>
      </c>
      <c r="G314">
        <v>1400</v>
      </c>
      <c r="H314">
        <v>135</v>
      </c>
      <c r="I314">
        <v>7.16</v>
      </c>
      <c r="J314">
        <v>966.6</v>
      </c>
      <c r="M314" t="str">
        <v>287</v>
      </c>
      <c r="N314" t="str">
        <v>Curtice Advani</v>
      </c>
      <c r="O314" t="str">
        <v>Canada</v>
      </c>
      <c r="P314" t="str">
        <v>Manuka Honey Choco</v>
      </c>
      <c r="Q314">
        <v>1400</v>
      </c>
      <c r="R314">
        <v>135</v>
      </c>
      <c r="S314">
        <v>7.16</v>
      </c>
      <c r="T314">
        <v>966.6</v>
      </c>
    </row>
    <row r="315" spans="4:20" x14ac:dyDescent="0.3">
      <c r="D315" t="s">
        <v>262</v>
      </c>
      <c r="E315" t="s">
        <v>257</v>
      </c>
      <c r="F315" t="s">
        <v>249</v>
      </c>
      <c r="G315">
        <v>4053</v>
      </c>
      <c r="H315">
        <v>24</v>
      </c>
      <c r="I315">
        <v>9.77</v>
      </c>
      <c r="J315">
        <v>234.48</v>
      </c>
      <c r="M315" t="str">
        <v>288</v>
      </c>
      <c r="N315" t="str">
        <v>Oby Sorrel</v>
      </c>
      <c r="O315" t="str">
        <v>India</v>
      </c>
      <c r="P315" t="str">
        <v>After Nines</v>
      </c>
      <c r="Q315">
        <v>4053</v>
      </c>
      <c r="R315">
        <v>24</v>
      </c>
      <c r="S315">
        <v>9.77</v>
      </c>
      <c r="T315">
        <v>234.48</v>
      </c>
    </row>
    <row r="316" spans="4:20" x14ac:dyDescent="0.3">
      <c r="D316" t="s">
        <v>250</v>
      </c>
      <c r="E316" t="s">
        <v>241</v>
      </c>
      <c r="F316" t="s">
        <v>248</v>
      </c>
      <c r="G316">
        <v>2149</v>
      </c>
      <c r="H316">
        <v>117</v>
      </c>
      <c r="I316">
        <v>5.79</v>
      </c>
      <c r="J316">
        <v>677.43</v>
      </c>
      <c r="M316" t="str">
        <v>289</v>
      </c>
      <c r="N316" t="str">
        <v>Ches Bonnell</v>
      </c>
      <c r="O316" t="str">
        <v>Canada</v>
      </c>
      <c r="P316" t="str">
        <v>Smooth Sliky Salty</v>
      </c>
      <c r="Q316">
        <v>2149</v>
      </c>
      <c r="R316">
        <v>117</v>
      </c>
      <c r="S316">
        <v>5.79</v>
      </c>
      <c r="T316">
        <v>677.43</v>
      </c>
    </row>
    <row r="317" spans="4:20" x14ac:dyDescent="0.3">
      <c r="D317" t="s">
        <v>254</v>
      </c>
      <c r="E317" t="s">
        <v>244</v>
      </c>
      <c r="F317" t="s">
        <v>259</v>
      </c>
      <c r="G317">
        <v>3640</v>
      </c>
      <c r="H317">
        <v>51</v>
      </c>
      <c r="I317">
        <v>7.16</v>
      </c>
      <c r="J317">
        <v>365.16</v>
      </c>
      <c r="M317" t="str">
        <v>290</v>
      </c>
      <c r="N317" t="str">
        <v>Gunar Cockshoot</v>
      </c>
      <c r="O317" t="str">
        <v>UK</v>
      </c>
      <c r="P317" t="str">
        <v>Manuka Honey Choco</v>
      </c>
      <c r="Q317">
        <v>3640</v>
      </c>
      <c r="R317">
        <v>51</v>
      </c>
      <c r="S317">
        <v>7.16</v>
      </c>
      <c r="T317">
        <v>365.16</v>
      </c>
    </row>
    <row r="318" spans="4:20" x14ac:dyDescent="0.3">
      <c r="D318" t="s">
        <v>253</v>
      </c>
      <c r="E318" t="s">
        <v>244</v>
      </c>
      <c r="F318" t="s">
        <v>261</v>
      </c>
      <c r="G318">
        <v>630</v>
      </c>
      <c r="H318">
        <v>36</v>
      </c>
      <c r="I318">
        <v>6.49</v>
      </c>
      <c r="J318">
        <v>233.64</v>
      </c>
      <c r="M318" t="str">
        <v>291</v>
      </c>
      <c r="N318" t="str">
        <v>Barr Faughny</v>
      </c>
      <c r="O318" t="str">
        <v>UK</v>
      </c>
      <c r="P318" t="str">
        <v>Fruit &amp; Nut Bars</v>
      </c>
      <c r="Q318">
        <v>630</v>
      </c>
      <c r="R318">
        <v>36</v>
      </c>
      <c r="S318">
        <v>6.49</v>
      </c>
      <c r="T318">
        <v>233.64</v>
      </c>
    </row>
    <row r="319" spans="4:20" x14ac:dyDescent="0.3">
      <c r="D319" t="s">
        <v>238</v>
      </c>
      <c r="E319" t="s">
        <v>236</v>
      </c>
      <c r="F319" t="s">
        <v>266</v>
      </c>
      <c r="G319">
        <v>2429</v>
      </c>
      <c r="H319">
        <v>144</v>
      </c>
      <c r="I319">
        <v>16.73</v>
      </c>
      <c r="J319">
        <v>2409.12</v>
      </c>
      <c r="M319" t="str">
        <v>292</v>
      </c>
      <c r="N319" t="str">
        <v>Husein Augar</v>
      </c>
      <c r="O319" t="str">
        <v>USA</v>
      </c>
      <c r="P319" t="str">
        <v>Organic Choco Syrup</v>
      </c>
      <c r="Q319">
        <v>2429</v>
      </c>
      <c r="R319">
        <v>144</v>
      </c>
      <c r="S319">
        <v>16.73</v>
      </c>
      <c r="T319">
        <v>2409.12</v>
      </c>
    </row>
    <row r="320" spans="4:20" x14ac:dyDescent="0.3">
      <c r="D320" t="s">
        <v>238</v>
      </c>
      <c r="E320" t="s">
        <v>241</v>
      </c>
      <c r="F320" t="s">
        <v>245</v>
      </c>
      <c r="G320">
        <v>2142</v>
      </c>
      <c r="H320">
        <v>114</v>
      </c>
      <c r="I320">
        <v>13.15</v>
      </c>
      <c r="J320">
        <v>1499.1</v>
      </c>
      <c r="M320" t="str">
        <v>293</v>
      </c>
      <c r="N320" t="str">
        <v>Husein Augar</v>
      </c>
      <c r="O320" t="str">
        <v>Canada</v>
      </c>
      <c r="P320" t="str">
        <v>White Choc</v>
      </c>
      <c r="Q320">
        <v>2142</v>
      </c>
      <c r="R320">
        <v>114</v>
      </c>
      <c r="S320">
        <v>13.15</v>
      </c>
      <c r="T320">
        <v>1499.1</v>
      </c>
    </row>
    <row r="321" spans="4:20" x14ac:dyDescent="0.3">
      <c r="D321" t="s">
        <v>250</v>
      </c>
      <c r="E321" t="s">
        <v>233</v>
      </c>
      <c r="F321" t="s">
        <v>234</v>
      </c>
      <c r="G321">
        <v>6454</v>
      </c>
      <c r="H321">
        <v>54</v>
      </c>
      <c r="I321">
        <v>14.49</v>
      </c>
      <c r="J321">
        <v>782.46</v>
      </c>
      <c r="M321" t="str">
        <v>294</v>
      </c>
      <c r="N321" t="str">
        <v>Ches Bonnell</v>
      </c>
      <c r="O321" t="str">
        <v>New Zealand</v>
      </c>
      <c r="P321" t="str">
        <v>70% Dark Bites</v>
      </c>
      <c r="Q321">
        <v>6454</v>
      </c>
      <c r="R321">
        <v>54</v>
      </c>
      <c r="S321">
        <v>14.49</v>
      </c>
      <c r="T321">
        <v>782.46</v>
      </c>
    </row>
    <row r="322" spans="4:20" x14ac:dyDescent="0.3">
      <c r="D322" t="s">
        <v>250</v>
      </c>
      <c r="E322" t="s">
        <v>233</v>
      </c>
      <c r="F322" t="s">
        <v>256</v>
      </c>
      <c r="G322">
        <v>4487</v>
      </c>
      <c r="H322">
        <v>333</v>
      </c>
      <c r="I322">
        <v>8.7899999999999991</v>
      </c>
      <c r="J322">
        <v>2927.07</v>
      </c>
      <c r="M322" t="str">
        <v>295</v>
      </c>
      <c r="N322" t="str">
        <v>Ches Bonnell</v>
      </c>
      <c r="O322" t="str">
        <v>New Zealand</v>
      </c>
      <c r="P322" t="str">
        <v>Mint Chip Choco</v>
      </c>
      <c r="Q322">
        <v>4487</v>
      </c>
      <c r="R322">
        <v>333</v>
      </c>
      <c r="S322">
        <v>8.7899999999999991</v>
      </c>
      <c r="T322">
        <v>2927.07</v>
      </c>
    </row>
    <row r="323" spans="4:20" x14ac:dyDescent="0.3">
      <c r="D323" t="s">
        <v>254</v>
      </c>
      <c r="E323" t="s">
        <v>233</v>
      </c>
      <c r="F323" t="s">
        <v>239</v>
      </c>
      <c r="G323">
        <v>938</v>
      </c>
      <c r="H323">
        <v>366</v>
      </c>
      <c r="I323">
        <v>11.88</v>
      </c>
      <c r="J323">
        <v>4348.08</v>
      </c>
      <c r="M323" t="str">
        <v>296</v>
      </c>
      <c r="N323" t="str">
        <v>Gunar Cockshoot</v>
      </c>
      <c r="O323" t="str">
        <v>New Zealand</v>
      </c>
      <c r="P323" t="str">
        <v>Almond Choco</v>
      </c>
      <c r="Q323">
        <v>938</v>
      </c>
      <c r="R323">
        <v>366</v>
      </c>
      <c r="S323">
        <v>11.88</v>
      </c>
      <c r="T323">
        <v>4348.08</v>
      </c>
    </row>
    <row r="324" spans="4:20" x14ac:dyDescent="0.3">
      <c r="D324" t="s">
        <v>254</v>
      </c>
      <c r="E324" t="s">
        <v>247</v>
      </c>
      <c r="F324" t="s">
        <v>269</v>
      </c>
      <c r="G324">
        <v>8841</v>
      </c>
      <c r="H324">
        <v>303</v>
      </c>
      <c r="I324">
        <v>5.6</v>
      </c>
      <c r="J324">
        <v>1696.8</v>
      </c>
      <c r="M324" t="str">
        <v>297</v>
      </c>
      <c r="N324" t="str">
        <v>Gunar Cockshoot</v>
      </c>
      <c r="O324" t="str">
        <v>Australia</v>
      </c>
      <c r="P324" t="str">
        <v>Baker's Choco Chips</v>
      </c>
      <c r="Q324">
        <v>8841</v>
      </c>
      <c r="R324">
        <v>303</v>
      </c>
      <c r="S324">
        <v>5.6</v>
      </c>
      <c r="T324">
        <v>1696.8</v>
      </c>
    </row>
    <row r="325" spans="4:20" x14ac:dyDescent="0.3">
      <c r="D325" t="s">
        <v>253</v>
      </c>
      <c r="E325" t="s">
        <v>244</v>
      </c>
      <c r="F325" t="s">
        <v>246</v>
      </c>
      <c r="G325">
        <v>4018</v>
      </c>
      <c r="H325">
        <v>126</v>
      </c>
      <c r="I325">
        <v>12.37</v>
      </c>
      <c r="J325">
        <v>1558.62</v>
      </c>
      <c r="M325" t="str">
        <v>298</v>
      </c>
      <c r="N325" t="str">
        <v>Barr Faughny</v>
      </c>
      <c r="O325" t="str">
        <v>UK</v>
      </c>
      <c r="P325" t="str">
        <v>Peanut Butter Cubes</v>
      </c>
      <c r="Q325">
        <v>4018</v>
      </c>
      <c r="R325">
        <v>126</v>
      </c>
      <c r="S325">
        <v>12.37</v>
      </c>
      <c r="T325">
        <v>1558.62</v>
      </c>
    </row>
    <row r="326" spans="4:20" x14ac:dyDescent="0.3">
      <c r="D326" t="s">
        <v>240</v>
      </c>
      <c r="E326" t="s">
        <v>233</v>
      </c>
      <c r="F326" t="s">
        <v>264</v>
      </c>
      <c r="G326">
        <v>714</v>
      </c>
      <c r="H326">
        <v>231</v>
      </c>
      <c r="I326">
        <v>11.73</v>
      </c>
      <c r="J326">
        <v>2709.63</v>
      </c>
      <c r="M326" t="str">
        <v>299</v>
      </c>
      <c r="N326" t="str">
        <v>Carla Molina</v>
      </c>
      <c r="O326" t="str">
        <v>New Zealand</v>
      </c>
      <c r="P326" t="str">
        <v>Raspberry Choco</v>
      </c>
      <c r="Q326">
        <v>714</v>
      </c>
      <c r="R326">
        <v>231</v>
      </c>
      <c r="S326">
        <v>11.73</v>
      </c>
      <c r="T326">
        <v>2709.63</v>
      </c>
    </row>
    <row r="327" spans="4:20" x14ac:dyDescent="0.3">
      <c r="D327" t="s">
        <v>238</v>
      </c>
      <c r="E327" t="s">
        <v>247</v>
      </c>
      <c r="F327" t="s">
        <v>245</v>
      </c>
      <c r="G327">
        <v>3850</v>
      </c>
      <c r="H327">
        <v>102</v>
      </c>
      <c r="I327">
        <v>13.15</v>
      </c>
      <c r="J327">
        <v>1341.3</v>
      </c>
      <c r="M327" t="str">
        <v>300</v>
      </c>
      <c r="N327" t="str">
        <v>Husein Augar</v>
      </c>
      <c r="O327" t="str">
        <v>Australia</v>
      </c>
      <c r="P327" t="str">
        <v>White Choc</v>
      </c>
      <c r="Q327">
        <v>3850</v>
      </c>
      <c r="R327">
        <v>102</v>
      </c>
      <c r="S327">
        <v>13.15</v>
      </c>
      <c r="T327">
        <v>1341.3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C579-E185-4B45-A3D9-BB42D6BEDD45}">
  <dimension ref="B2:M7"/>
  <sheetViews>
    <sheetView tabSelected="1" workbookViewId="0">
      <selection activeCell="J7" sqref="J7"/>
    </sheetView>
  </sheetViews>
  <sheetFormatPr defaultRowHeight="14.4" x14ac:dyDescent="0.3"/>
  <cols>
    <col min="2" max="2" width="36.33203125" bestFit="1" customWidth="1"/>
    <col min="4" max="4" width="13.6640625" customWidth="1"/>
    <col min="7" max="7" width="10.6640625" customWidth="1"/>
    <col min="8" max="8" width="12.109375" customWidth="1"/>
    <col min="10" max="10" width="15.109375" bestFit="1" customWidth="1"/>
    <col min="11" max="11" width="10.88671875" bestFit="1" customWidth="1"/>
    <col min="12" max="12" width="10.5546875" bestFit="1" customWidth="1"/>
  </cols>
  <sheetData>
    <row r="2" spans="2:13" x14ac:dyDescent="0.3">
      <c r="B2" t="s">
        <v>270</v>
      </c>
      <c r="D2" t="str" cm="1">
        <f t="array" ref="D2">_xll.RScript.Evaluate(B2)</f>
        <v>origin</v>
      </c>
      <c r="G2" t="str" cm="1">
        <f t="array" ref="G2">_xll.RScript.Evaluate(D2)</f>
        <v>1970-01-01</v>
      </c>
      <c r="J2" s="7"/>
      <c r="L2" s="7"/>
      <c r="M2" s="8"/>
    </row>
    <row r="3" spans="2:13" x14ac:dyDescent="0.3">
      <c r="B3" t="s">
        <v>271</v>
      </c>
      <c r="D3" t="str" cm="1">
        <f t="array" ref="D3">_xll.RScript.Evaluate(B3)</f>
        <v>dt_origin</v>
      </c>
      <c r="G3" t="str" cm="1">
        <f t="array" ref="G3">_xll.RScript.Evaluate(D3)</f>
        <v>1970-01-01</v>
      </c>
    </row>
    <row r="4" spans="2:13" x14ac:dyDescent="0.3">
      <c r="B4" t="s">
        <v>274</v>
      </c>
      <c r="D4" t="str" cm="1">
        <f t="array" ref="D4">_xll.RScript.Evaluate(B4)</f>
        <v>dt_origin_n</v>
      </c>
      <c r="G4" cm="1">
        <f t="array" ref="G4">_xll.RScript.Evaluate(D4)</f>
        <v>0</v>
      </c>
    </row>
    <row r="6" spans="2:13" x14ac:dyDescent="0.3">
      <c r="B6" t="s">
        <v>272</v>
      </c>
      <c r="D6" t="str" cm="1">
        <f t="array" ref="D6">_xll.RScript.Evaluate(B6)</f>
        <v>birthdays</v>
      </c>
      <c r="G6" t="str" cm="1">
        <f t="array" ref="G6:H6">TRANSPOSE(_xll.RScript.Evaluate(D6))</f>
        <v>1963-02-12</v>
      </c>
      <c r="H6" t="str">
        <v>1968-07-13</v>
      </c>
      <c r="J6" s="10">
        <f>DATEVALUE(G6)</f>
        <v>23054</v>
      </c>
      <c r="K6" s="10">
        <f>DATEVALUE(H6)</f>
        <v>25032</v>
      </c>
    </row>
    <row r="7" spans="2:13" x14ac:dyDescent="0.3">
      <c r="B7" t="s">
        <v>273</v>
      </c>
      <c r="D7" t="str" cm="1">
        <f t="array" ref="D7">_xll.RScript.Evaluate(B7)</f>
        <v>birthday_dates</v>
      </c>
      <c r="G7" t="str" cm="1">
        <f t="array" ref="G7:H7">TRANSPOSE(_xll.RScript.Evaluate(D7))</f>
        <v>1963-02-12</v>
      </c>
      <c r="H7" t="str">
        <v>1968-07-13</v>
      </c>
      <c r="J7" s="10">
        <f>DATEVALUE(G7)</f>
        <v>23054</v>
      </c>
      <c r="K7" s="10">
        <f>DATEVALUE(H7)</f>
        <v>25032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 Types</vt:lpstr>
      <vt:lpstr>Character Vector</vt:lpstr>
      <vt:lpstr>Complex Vector</vt:lpstr>
      <vt:lpstr>Integer Vector</vt:lpstr>
      <vt:lpstr>Logical Vector</vt:lpstr>
      <vt:lpstr>Numeric Vector</vt:lpstr>
      <vt:lpstr>Character Matrix</vt:lpstr>
      <vt:lpstr>Complex Matrix</vt:lpstr>
      <vt:lpstr>Complex Matrices</vt:lpstr>
      <vt:lpstr>Integer Matrix</vt:lpstr>
      <vt:lpstr>Logical Matrix</vt:lpstr>
      <vt:lpstr>Numeric Matrix</vt:lpstr>
      <vt:lpstr>Factors</vt:lpstr>
      <vt:lpstr>Lists</vt:lpstr>
      <vt:lpstr>Matrices</vt:lpstr>
      <vt:lpstr>Complex</vt:lpstr>
      <vt:lpstr>Function</vt:lpstr>
      <vt:lpstr>S3 Class</vt:lpstr>
      <vt:lpstr>S4 Class</vt:lpstr>
      <vt:lpstr>Data Frames</vt:lpstr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Gladstone</dc:creator>
  <cp:lastModifiedBy>Adam Gladstone</cp:lastModifiedBy>
  <dcterms:created xsi:type="dcterms:W3CDTF">2023-08-29T08:38:00Z</dcterms:created>
  <dcterms:modified xsi:type="dcterms:W3CDTF">2026-09-25T11:29:10Z</dcterms:modified>
</cp:coreProperties>
</file>