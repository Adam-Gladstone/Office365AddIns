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Projects\C#\Office\Office365 AddIns\ExcelRAddIn\Tests\"/>
    </mc:Choice>
  </mc:AlternateContent>
  <xr:revisionPtr revIDLastSave="0" documentId="13_ncr:1_{DDC442AF-79BB-4C42-A85C-B1D69E31434E}" xr6:coauthVersionLast="47" xr6:coauthVersionMax="47" xr10:uidLastSave="{00000000-0000-0000-0000-000000000000}"/>
  <bookViews>
    <workbookView xWindow="-108" yWindow="-108" windowWidth="23256" windowHeight="12456" xr2:uid="{0F2AA292-504D-47F7-886F-362165F7C2B7}"/>
  </bookViews>
  <sheets>
    <sheet name="Linear Model" sheetId="1" r:id="rId1"/>
    <sheet name="Summary Dashboard" sheetId="3" r:id="rId2"/>
    <sheet name="Predic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2" l="1" a="1"/>
  <c r="C58" i="2" a="1"/>
  <c r="C57" i="2" a="1"/>
  <c r="C56" i="2" a="1"/>
  <c r="C55" i="2" a="1"/>
  <c r="C40" i="2" a="1"/>
  <c r="C35" i="2" a="1"/>
  <c r="C30" i="2" a="1"/>
  <c r="C29" i="2" a="1"/>
  <c r="C28" i="2" a="1"/>
  <c r="C27" i="2" a="1"/>
  <c r="C9" i="2" a="1"/>
  <c r="C8" i="2" a="1"/>
  <c r="C7" i="2" a="1"/>
  <c r="C6" i="2" a="1"/>
  <c r="C5" i="2" a="1"/>
  <c r="C4" i="2" a="1"/>
  <c r="C3" i="2" a="1"/>
  <c r="C2" i="2" a="1"/>
  <c r="K55" i="1" a="1"/>
  <c r="H47" i="1" a="1"/>
  <c r="D47" i="1" a="1"/>
  <c r="E38" i="1" a="1"/>
  <c r="E36" i="1" a="1"/>
  <c r="E35" i="1" a="1"/>
  <c r="E34" i="1" a="1"/>
  <c r="D34" i="1" a="1"/>
  <c r="D19" i="1" a="1"/>
  <c r="E19" i="1" s="1" a="1"/>
  <c r="D7" i="1" a="1"/>
  <c r="D6" i="1" a="1"/>
  <c r="D5" i="1" a="1"/>
  <c r="D4" i="1" a="1"/>
  <c r="D3" i="1" a="1"/>
  <c r="D16" i="3" a="1"/>
  <c r="D5" i="3" a="1"/>
  <c r="B55" i="1"/>
  <c r="D55" i="1" a="1"/>
  <c r="E59" i="1" a="1"/>
  <c r="D95" i="1" a="1"/>
  <c r="D93" i="1" a="1"/>
  <c r="D63" i="1" a="1"/>
  <c r="D85" i="1" a="1"/>
  <c r="E41" i="1" a="1"/>
  <c r="B13" i="3" s="1"/>
  <c r="B90" i="1"/>
  <c r="C50" i="2" a="1"/>
  <c r="C45" i="2" a="1"/>
  <c r="E43" i="1" a="1"/>
  <c r="B14" i="3" s="1"/>
  <c r="E44" i="1" a="1"/>
  <c r="E39" i="1" a="1"/>
  <c r="E40" i="1" a="1"/>
  <c r="E42" i="1" a="1"/>
  <c r="C13" i="3" s="1"/>
  <c r="E22" i="1" a="1"/>
  <c r="E30" i="1" a="1"/>
  <c r="E23" i="1" a="1"/>
  <c r="E28" i="1" a="1"/>
  <c r="E21" i="1" a="1"/>
  <c r="E24" i="1" a="1"/>
  <c r="E26" i="1" a="1"/>
  <c r="E20" i="1" a="1"/>
  <c r="E25" i="1" a="1"/>
  <c r="E27" i="1" a="1"/>
  <c r="E29" i="1" a="1"/>
  <c r="E55" i="1" a="1"/>
  <c r="D8" i="3" s="1" a="1"/>
  <c r="B3" i="3" l="1"/>
  <c r="B1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<sst xmlns="http://schemas.openxmlformats.org/spreadsheetml/2006/main" count="48" uniqueCount="48">
  <si>
    <t>fm</t>
  </si>
  <si>
    <t>library(tidyverse)</t>
  </si>
  <si>
    <t>plot(x, y)</t>
  </si>
  <si>
    <t>x &lt;- rnorm(50)</t>
  </si>
  <si>
    <t>summary(fm)</t>
  </si>
  <si>
    <t>anova(fm)</t>
  </si>
  <si>
    <t>x &lt;- rnorm(15)</t>
  </si>
  <si>
    <t>y &lt;- x + rnorm(15)</t>
  </si>
  <si>
    <t>predict(lm(y ~ x))</t>
  </si>
  <si>
    <t>new &lt;- data.frame(x = seq(-3, 3, 0.5))</t>
  </si>
  <si>
    <t>predict(lm(y ~ x), new, se.fit = TRUE)</t>
  </si>
  <si>
    <t>pred.w.plim &lt;- predict(lm(y ~ x), new, interval = "prediction")</t>
  </si>
  <si>
    <t>pred.w.clim &lt;- predict(lm(y ~ x), new, interval = "confidence")</t>
  </si>
  <si>
    <t>matplot(new$x, cbind(pred.w.clim, pred.w.plim[,-1]), lty = c(1,2,2,3,3), type = "l", ylab = "predicted y")</t>
  </si>
  <si>
    <t>## Prediction intervals, special cases</t>
  </si>
  <si>
    <t>##  The first three of these throw warnings</t>
  </si>
  <si>
    <t>w &lt;- 1 + x^2</t>
  </si>
  <si>
    <t>fit &lt;- lm(y ~ x)</t>
  </si>
  <si>
    <t>wfit &lt;- lm(y ~ x, weights = w)</t>
  </si>
  <si>
    <t>predict(fit, interval = "prediction")</t>
  </si>
  <si>
    <t>predict(wfit, interval = "prediction")</t>
  </si>
  <si>
    <t>predict(wfit, new, interval = "prediction")</t>
  </si>
  <si>
    <t>predict(wfit, new, interval = "prediction", weights = (new$x)^2)</t>
  </si>
  <si>
    <t>predict(wfit, new, interval = "prediction", weights = ~x^2)</t>
  </si>
  <si>
    <t>##-- From  aov(.) example ---- predict(.. terms)</t>
  </si>
  <si>
    <t>npk.aov &lt;- aov(yield ~ block + N*P*K, npk)</t>
  </si>
  <si>
    <t>pt. &lt;- predict(npk.aov, type = "terms", terms = termL[1:4])</t>
  </si>
  <si>
    <t>stopifnot(all.equal(pt[,1:4], pt., tolerance = 1e-12, check.attributes = FALSE))</t>
  </si>
  <si>
    <t>termL &lt;- attr(terms(npk.aov), "term.labels")</t>
  </si>
  <si>
    <t>pt &lt;- predict(npk.aov, type = "terms")</t>
  </si>
  <si>
    <t>R Script</t>
  </si>
  <si>
    <t>Results</t>
  </si>
  <si>
    <t>ls()</t>
  </si>
  <si>
    <t>y &lt;- rnorm(50)</t>
  </si>
  <si>
    <t>df &lt;- data.frame(x = x, y = y)</t>
  </si>
  <si>
    <t>fm &lt;- lm(y ~ x)</t>
  </si>
  <si>
    <t>abline(coef(fm))</t>
  </si>
  <si>
    <t>library(ggplot2)</t>
  </si>
  <si>
    <t>plot(ggplot(df, aes(x = x, y = y)) + geom_point())</t>
  </si>
  <si>
    <t>as.data.frame(as.array(summary(fm$residuals)))</t>
  </si>
  <si>
    <t>Residuals</t>
  </si>
  <si>
    <t>Coefficients</t>
  </si>
  <si>
    <t>ANOVA</t>
  </si>
  <si>
    <t>Summary</t>
  </si>
  <si>
    <t>=TRANSPOSE(TEXTJOIN(",",TRUE,RScript.Evaluate(B89)))</t>
  </si>
  <si>
    <t>=RScript.Evaluate(B90)</t>
  </si>
  <si>
    <t>summary(fm$residuals)</t>
  </si>
  <si>
    <t>summary(fm)$coefficients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</si>
</sst>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Lucida Console"/>
      <family val="3"/>
    </font>
    <font>
      <sz val="9"/>
      <color theme="1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quotePrefix="1"/>
    <xf numFmtId="0" fontId="0" fillId="3" borderId="0" xfId="0" applyFill="1"/>
    <xf numFmtId="0" fontId="0" fillId="4" borderId="0" xfId="0" applyFill="1"/>
    <xf numFmtId="0" fontId="3" fillId="0" borderId="0" xfId="0" applyFont="1"/>
    <xf numFmtId="0" fontId="3" fillId="2" borderId="0" xfId="0" applyFont="1" applyFill="1"/>
    <xf numFmtId="2" fontId="3" fillId="2" borderId="0" xfId="0" applyNumberFormat="1" applyFont="1" applyFill="1"/>
    <xf numFmtId="164" fontId="3" fillId="2" borderId="0" xfId="0" applyNumberFormat="1" applyFont="1" applyFill="1"/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144780</xdr:colOff>
      <xdr:row>63</xdr:row>
      <xdr:rowOff>15240</xdr:rowOff>
    </xdr:from>
    <xdr:to>
      <xdr:col>8</xdr:col>
      <xdr:colOff>121920</xdr:colOff>
      <xdr:row>77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16EF4D-A7FB-0A87-95F4-07B018E0D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0" y="10256520"/>
          <a:ext cx="2560320" cy="256032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4</xdr:col>
      <xdr:colOff>533400</xdr:colOff>
      <xdr:row>91</xdr:row>
      <xdr:rowOff>73442</xdr:rowOff>
    </xdr:from>
    <xdr:to>
      <xdr:col>9</xdr:col>
      <xdr:colOff>411480</xdr:colOff>
      <xdr:row>105</xdr:row>
      <xdr:rowOff>146793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2D1558-021A-ACDB-7CF7-862055E92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9120" y="13606562"/>
          <a:ext cx="3070860" cy="2633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472440</xdr:colOff>
      <xdr:row>6</xdr:row>
      <xdr:rowOff>198120</xdr:rowOff>
    </xdr:from>
    <xdr:to>
      <xdr:col>9</xdr:col>
      <xdr:colOff>236220</xdr:colOff>
      <xdr:row>22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68F78-0343-264B-6B9D-9BF455A2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6780" y="1295400"/>
          <a:ext cx="3421380" cy="342138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41A8-5743-4B71-A4CB-FCAA901E9088}">
  <dimension ref="B2:BC111"/>
  <sheetViews>
    <sheetView tabSelected="1" workbookViewId="0"/>
  </sheetViews>
  <sheetFormatPr defaultRowHeight="14.4" x14ac:dyDescent="0.3"/>
  <cols>
    <col min="2" max="2" width="31.109375" customWidth="1"/>
    <col min="3" max="3" width="4.77734375" customWidth="1"/>
    <col min="4" max="4" width="11.44140625" customWidth="1"/>
    <col min="5" max="5" width="11" customWidth="1"/>
  </cols>
  <sheetData>
    <row r="2" spans="2:4" x14ac:dyDescent="0.3">
      <c r="B2" s="3" t="s">
        <v>30</v>
      </c>
      <c r="D2" s="3" t="s">
        <v>31</v>
      </c>
    </row>
    <row r="3" spans="2:4" x14ac:dyDescent="0.3">
      <c r="B3" s="5" t="s">
        <v>1</v>
      </c>
      <c r="D3" s="6" t="str" cm="1">
        <f t="array" ref="D3">_xll.RScript.Evaluate(B3, TRUE)</f>
        <v>OK</v>
      </c>
    </row>
    <row r="4" spans="2:4" x14ac:dyDescent="0.3">
      <c r="B4" s="5" t="s">
        <v>3</v>
      </c>
      <c r="D4" s="6" t="str" cm="1">
        <f t="array" ref="D4">_xll.RScript.Evaluate(B4)</f>
        <v>x</v>
      </c>
    </row>
    <row r="5" spans="2:4" x14ac:dyDescent="0.3">
      <c r="B5" s="5" t="s">
        <v>33</v>
      </c>
      <c r="D5" s="6" t="str" cm="1">
        <f t="array" ref="D5">_xll.RScript.Evaluate(B5)</f>
        <v>y</v>
      </c>
    </row>
    <row r="6" spans="2:4" x14ac:dyDescent="0.3">
      <c r="B6" s="5" t="s">
        <v>34</v>
      </c>
      <c r="D6" s="6" t="str" cm="1">
        <f t="array" ref="D6">_xll.RScript.Evaluate(B6)</f>
        <v>df</v>
      </c>
    </row>
    <row r="7" spans="2:4" x14ac:dyDescent="0.3">
      <c r="B7" s="5" t="s">
        <v>35</v>
      </c>
      <c r="D7" s="6" t="str" cm="1">
        <f t="array" ref="D7">_xll.RScript.Evaluate(B7)</f>
        <v>fm</v>
      </c>
    </row>
    <row r="19" spans="2:55" x14ac:dyDescent="0.3">
      <c r="B19" s="5" t="s">
        <v>0</v>
      </c>
      <c r="D19" s="6" t="str" cm="1">
        <f t="array" ref="D19:D30">_xll.RScript.Evaluate(B19)</f>
        <v>coefficients</v>
      </c>
      <c r="E19" s="5" cm="1">
        <f t="array" ref="E19:F19">TRANSPOSE(_xll.RScript.Evaluate($B$19&amp;"$"&amp;D19))</f>
        <v>8.3242921028025732E-2</v>
      </c>
      <c r="F19" s="5">
        <v>-9.6405256536097425E-2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2:55" x14ac:dyDescent="0.3">
      <c r="D20" s="6" t="str">
        <v>residuals</v>
      </c>
      <c r="E20" s="5" cm="1">
        <f t="array" ref="E20:BB20">TRANSPOSE(_xll.RScript.Evaluate($B$19&amp;"$"&amp;D20))</f>
        <v>-0.22552153148627149</v>
      </c>
      <c r="F20" s="5">
        <v>1.2962435052866932</v>
      </c>
      <c r="G20" s="5">
        <v>-0.70252823975309198</v>
      </c>
      <c r="H20" s="5">
        <v>0.2271591889602437</v>
      </c>
      <c r="I20" s="5">
        <v>3.6046560105801595E-2</v>
      </c>
      <c r="J20" s="5">
        <v>-0.41442956020325017</v>
      </c>
      <c r="K20" s="5">
        <v>-1.0657923631907413</v>
      </c>
      <c r="L20" s="5">
        <v>-0.44830921413214392</v>
      </c>
      <c r="M20" s="5">
        <v>-0.33672444710775457</v>
      </c>
      <c r="N20" s="5">
        <v>-0.18045642509137724</v>
      </c>
      <c r="O20" s="5">
        <v>0.35808251340620811</v>
      </c>
      <c r="P20" s="5">
        <v>-2.4805536602539226E-2</v>
      </c>
      <c r="Q20" s="5">
        <v>0.91759605676943956</v>
      </c>
      <c r="R20">
        <v>1.0447527997306805</v>
      </c>
      <c r="S20">
        <v>0.90328219866046544</v>
      </c>
      <c r="T20">
        <v>-1.0003298840221302</v>
      </c>
      <c r="U20">
        <v>-0.85496882294234045</v>
      </c>
      <c r="V20">
        <v>1.0838993404476023</v>
      </c>
      <c r="W20">
        <v>-0.37039485846668313</v>
      </c>
      <c r="X20">
        <v>1.6441216771114937</v>
      </c>
      <c r="Y20">
        <v>0.96936248202816677</v>
      </c>
      <c r="Z20">
        <v>0.13073483019304741</v>
      </c>
      <c r="AA20">
        <v>-1.2945693122605377</v>
      </c>
      <c r="AB20">
        <v>0.30423320151994881</v>
      </c>
      <c r="AC20">
        <v>0.3159317783707839</v>
      </c>
      <c r="AD20">
        <v>-0.37845517924634153</v>
      </c>
      <c r="AE20">
        <v>-0.33171287355208678</v>
      </c>
      <c r="AF20">
        <v>-1.7095233446968484E-3</v>
      </c>
      <c r="AG20">
        <v>0.4063209044544448</v>
      </c>
      <c r="AH20">
        <v>0.57771268753014371</v>
      </c>
      <c r="AI20">
        <v>-0.60172106293651229</v>
      </c>
      <c r="AJ20">
        <v>0.50724591949851416</v>
      </c>
      <c r="AK20">
        <v>1.2787823180033371</v>
      </c>
      <c r="AL20">
        <v>-0.2527007172993363</v>
      </c>
      <c r="AM20">
        <v>-0.61370926380585566</v>
      </c>
      <c r="AN20">
        <v>-0.61370949899814475</v>
      </c>
      <c r="AO20">
        <v>-1.0131896111242278</v>
      </c>
      <c r="AP20">
        <v>0.66203049831477001</v>
      </c>
      <c r="AQ20">
        <v>-1.5610740329308124</v>
      </c>
      <c r="AR20">
        <v>-1.3236520540464263</v>
      </c>
      <c r="AS20">
        <v>-0.22164474475888163</v>
      </c>
      <c r="AT20">
        <v>0.72632694382389928</v>
      </c>
      <c r="AU20">
        <v>-2.6404000861640959</v>
      </c>
      <c r="AV20">
        <v>0.39116241160745824</v>
      </c>
      <c r="AW20">
        <v>0.59967123959794133</v>
      </c>
      <c r="AX20">
        <v>0.70162069464980725</v>
      </c>
      <c r="AY20">
        <v>1.1487103232086107</v>
      </c>
      <c r="AZ20">
        <v>0.54963781306587467</v>
      </c>
      <c r="BA20">
        <v>-1.7436700988940606E-2</v>
      </c>
      <c r="BB20">
        <v>-0.29072234189015533</v>
      </c>
    </row>
    <row r="21" spans="2:55" x14ac:dyDescent="0.3">
      <c r="D21" s="6" t="str">
        <v>effects</v>
      </c>
      <c r="E21" s="5" cm="1">
        <f t="array" ref="E21:BB21">TRANSPOSE(_xll.RScript.Evaluate($B$19&amp;"$"&amp;D21))</f>
        <v>-0.54506832041362485</v>
      </c>
      <c r="F21" s="5">
        <v>0.75700405433530571</v>
      </c>
      <c r="G21" s="5">
        <v>-0.62028195228393501</v>
      </c>
      <c r="H21" s="5">
        <v>0.42000020623275147</v>
      </c>
      <c r="I21" s="5">
        <v>0.16184923817874808</v>
      </c>
      <c r="J21" s="5">
        <v>-0.26875403625161359</v>
      </c>
      <c r="K21" s="5">
        <v>-1.1557700876163095</v>
      </c>
      <c r="L21" s="5">
        <v>-0.43765751657230628</v>
      </c>
      <c r="M21" s="5">
        <v>-9.8646481674696848E-2</v>
      </c>
      <c r="N21" s="5">
        <v>0.18003721199625167</v>
      </c>
      <c r="O21" s="5">
        <v>0.61921866680711257</v>
      </c>
      <c r="P21" s="5">
        <v>0.10558747083760185</v>
      </c>
      <c r="Q21" s="5">
        <v>0.82331492323910926</v>
      </c>
      <c r="R21">
        <v>0.87723946937583475</v>
      </c>
      <c r="S21">
        <v>0.90472543513738568</v>
      </c>
      <c r="T21">
        <v>-0.9746273444249578</v>
      </c>
      <c r="U21">
        <v>-0.832361674545403</v>
      </c>
      <c r="V21">
        <v>1.3970943199101735</v>
      </c>
      <c r="W21">
        <v>-0.37688710240234702</v>
      </c>
      <c r="X21">
        <v>1.5364524391461674</v>
      </c>
      <c r="Y21">
        <v>0.9734613767565935</v>
      </c>
      <c r="Z21">
        <v>-2.5134652315396411E-4</v>
      </c>
      <c r="AA21">
        <v>-1.5049487064877205</v>
      </c>
      <c r="AB21">
        <v>0.19529899075302376</v>
      </c>
      <c r="AC21">
        <v>0.63631039447922988</v>
      </c>
      <c r="AD21">
        <v>-0.48525733501397861</v>
      </c>
      <c r="AE21">
        <v>-0.61393555620982843</v>
      </c>
      <c r="AF21">
        <v>-3.6941017736278427E-2</v>
      </c>
      <c r="AG21">
        <v>0.56143640832985742</v>
      </c>
      <c r="AH21">
        <v>0.42566744754594998</v>
      </c>
      <c r="AI21">
        <v>-0.51977906836144461</v>
      </c>
      <c r="AJ21">
        <v>0.76370751027897299</v>
      </c>
      <c r="AK21">
        <v>1.6020939485939925</v>
      </c>
      <c r="AL21">
        <v>-0.38863074795826119</v>
      </c>
      <c r="AM21">
        <v>-0.62499124191055955</v>
      </c>
      <c r="AN21">
        <v>-0.83085552778222282</v>
      </c>
      <c r="AO21">
        <v>-0.93302108520339477</v>
      </c>
      <c r="AP21">
        <v>0.8803533799795189</v>
      </c>
      <c r="AQ21">
        <v>-1.4180682163456459</v>
      </c>
      <c r="AR21">
        <v>-1.1254341757370778</v>
      </c>
      <c r="AS21">
        <v>-0.3811788857845913</v>
      </c>
      <c r="AT21">
        <v>0.52271792052679078</v>
      </c>
      <c r="AU21">
        <v>-2.4822513938178945</v>
      </c>
      <c r="AV21">
        <v>9.4128001547871237E-2</v>
      </c>
      <c r="AW21">
        <v>0.54073032831737111</v>
      </c>
      <c r="AX21">
        <v>0.89473821660983122</v>
      </c>
      <c r="AY21">
        <v>1.1500416906597974</v>
      </c>
      <c r="AZ21">
        <v>0.68135861178892487</v>
      </c>
      <c r="BA21">
        <v>0.2435205212277074</v>
      </c>
      <c r="BB21">
        <v>-0.51371264432622665</v>
      </c>
    </row>
    <row r="22" spans="2:55" x14ac:dyDescent="0.3">
      <c r="D22" s="6" t="str">
        <v>rank</v>
      </c>
      <c r="E22" s="5" cm="1">
        <f t="array" ref="E22">TRANSPOSE(_xll.RScript.Evaluate($B$19&amp;"$"&amp;D22))</f>
        <v>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2:55" x14ac:dyDescent="0.3">
      <c r="D23" s="6" t="str">
        <v>fitted.values</v>
      </c>
      <c r="E23" s="5" cm="1">
        <f t="array" ref="E23:BB23">TRANSPOSE(_xll.RScript.Evaluate($B$19&amp;"$"&amp;D23))</f>
        <v>6.0070570598454082E-2</v>
      </c>
      <c r="F23" s="5">
        <v>1.1707043296273811E-2</v>
      </c>
      <c r="G23" s="5">
        <v>0.10861539266185982</v>
      </c>
      <c r="H23" s="5">
        <v>0.17712385174462966</v>
      </c>
      <c r="I23" s="5">
        <v>0.13559661689179095</v>
      </c>
      <c r="J23" s="5">
        <v>0.14790695076718674</v>
      </c>
      <c r="K23" s="5">
        <v>1.9303662330258931E-3</v>
      </c>
      <c r="L23" s="5">
        <v>6.4265765495433391E-2</v>
      </c>
      <c r="M23" s="5">
        <v>0.20514610576701359</v>
      </c>
      <c r="N23" s="5">
        <v>0.28097710646251756</v>
      </c>
      <c r="O23" s="5">
        <v>0.21942961574734343</v>
      </c>
      <c r="P23" s="5">
        <v>0.13844011940034681</v>
      </c>
      <c r="Q23" s="5">
        <v>-7.3540208246469785E-4</v>
      </c>
      <c r="R23">
        <v>-4.6099453051389405E-2</v>
      </c>
      <c r="S23">
        <v>5.8561538174329963E-2</v>
      </c>
      <c r="T23">
        <v>7.3589084949347683E-2</v>
      </c>
      <c r="U23">
        <v>7.1671629372906387E-2</v>
      </c>
      <c r="V23">
        <v>0.2516777161901429</v>
      </c>
      <c r="W23">
        <v>5.3645865102798396E-2</v>
      </c>
      <c r="X23">
        <v>-9.028730403910501E-3</v>
      </c>
      <c r="Y23">
        <v>6.0206598974104519E-2</v>
      </c>
      <c r="Z23">
        <v>-2.3472524852254747E-2</v>
      </c>
      <c r="AA23">
        <v>-7.2653050931316798E-2</v>
      </c>
      <c r="AB23">
        <v>-9.8123241391023241E-3</v>
      </c>
      <c r="AC23">
        <v>0.25612765587618824</v>
      </c>
      <c r="AD23">
        <v>-8.4916119953984404E-3</v>
      </c>
      <c r="AE23">
        <v>-0.11715673564186468</v>
      </c>
      <c r="AF23">
        <v>3.5843192521296613E-2</v>
      </c>
      <c r="AG23">
        <v>0.1537545935933875</v>
      </c>
      <c r="AH23">
        <v>-3.651766702839665E-2</v>
      </c>
      <c r="AI23">
        <v>0.10842689690513646</v>
      </c>
      <c r="AJ23">
        <v>0.21653393452833714</v>
      </c>
      <c r="AK23">
        <v>0.25794452638168974</v>
      </c>
      <c r="AL23">
        <v>-2.6535019929086134E-2</v>
      </c>
      <c r="AM23">
        <v>5.06788402913948E-2</v>
      </c>
      <c r="AN23">
        <v>-7.6844676585571592E-2</v>
      </c>
      <c r="AO23">
        <v>0.10732831286818245</v>
      </c>
      <c r="AP23">
        <v>0.192908720220484</v>
      </c>
      <c r="AQ23">
        <v>0.14625318717280922</v>
      </c>
      <c r="AR23">
        <v>0.18045457523381492</v>
      </c>
      <c r="AS23">
        <v>-4.1156704272665656E-2</v>
      </c>
      <c r="AT23">
        <v>-6.8459110761989517E-2</v>
      </c>
      <c r="AU23">
        <v>0.15563351737764775</v>
      </c>
      <c r="AV23">
        <v>-0.12633193433766837</v>
      </c>
      <c r="AW23">
        <v>2.1156275525307966E-2</v>
      </c>
      <c r="AX23">
        <v>0.17729513395766616</v>
      </c>
      <c r="AY23">
        <v>5.8492240346253332E-2</v>
      </c>
      <c r="AZ23">
        <v>0.13926262635829489</v>
      </c>
      <c r="BA23">
        <v>0.21931877592941482</v>
      </c>
      <c r="BB23">
        <v>-8.0464941159371917E-2</v>
      </c>
    </row>
    <row r="24" spans="2:55" x14ac:dyDescent="0.3">
      <c r="D24" s="6" t="str">
        <v>assign</v>
      </c>
      <c r="E24" s="5" cm="1">
        <f t="array" ref="E24:F24">TRANSPOSE(_xll.RScript.Evaluate($B$19&amp;"$"&amp;D24))</f>
        <v>0</v>
      </c>
      <c r="F24" s="5">
        <v>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2:55" x14ac:dyDescent="0.3">
      <c r="D25" s="6" t="str">
        <v>qr</v>
      </c>
      <c r="E25" s="5" t="str" cm="1">
        <f t="array" ref="E25:I25">TRANSPOSE(_xll.RScript.Evaluate($B$19&amp;"$"&amp;D25))</f>
        <v>qr</v>
      </c>
      <c r="F25" s="5" t="str">
        <v>qraux</v>
      </c>
      <c r="G25" s="5" t="str">
        <v>pivot</v>
      </c>
      <c r="H25" s="5" t="str">
        <v>tol</v>
      </c>
      <c r="I25" s="5" t="str">
        <v>rank</v>
      </c>
      <c r="J25" s="5"/>
      <c r="K25" s="5"/>
      <c r="L25" s="5"/>
      <c r="M25" s="5"/>
      <c r="N25" s="5"/>
      <c r="O25" s="5"/>
      <c r="P25" s="5"/>
      <c r="Q25" s="5"/>
    </row>
    <row r="26" spans="2:55" x14ac:dyDescent="0.3">
      <c r="D26" s="6" t="str">
        <v>df.residual</v>
      </c>
      <c r="E26" s="5" cm="1">
        <f t="array" ref="E26">TRANSPOSE(_xll.RScript.Evaluate($B$19&amp;"$"&amp;D26))</f>
        <v>48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2:55" x14ac:dyDescent="0.3">
      <c r="D27" s="6" t="str">
        <v>xlevels</v>
      </c>
      <c r="E27" s="5" t="str" cm="1">
        <f t="array" ref="E27">TRANSPOSE(_xll.RScript.Evaluate($B$19&amp;"$"&amp;D27))</f>
        <v>List of 0 objects.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2:55" x14ac:dyDescent="0.3">
      <c r="D28" s="6" t="str">
        <v>call</v>
      </c>
      <c r="E28" s="5" t="str" cm="1">
        <f t="array" ref="E28">TRANSPOSE(_xll.RScript.Evaluate($B$19&amp;"$"&amp;D28))</f>
        <v>lm(formula = y ~ x)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2:55" x14ac:dyDescent="0.3">
      <c r="D29" s="6" t="str">
        <v>terms</v>
      </c>
      <c r="E29" s="5" t="str" cm="1">
        <f t="array" ref="E29">TRANSPOSE(_xll.RScript.Evaluate($B$19&amp;"$"&amp;D29))</f>
        <v>y ~ x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2:55" x14ac:dyDescent="0.3">
      <c r="D30" s="6" t="str">
        <v>model</v>
      </c>
      <c r="E30" s="5" t="str" cm="1">
        <f t="array" ref="E30:BC32">TRANSPOSE(_xll.RScript.Evaluate($B$19&amp;"$"&amp;D30))</f>
        <v>Index</v>
      </c>
      <c r="F30" s="5" t="str">
        <v>1</v>
      </c>
      <c r="G30" s="5" t="str">
        <v>2</v>
      </c>
      <c r="H30" s="5" t="str">
        <v>3</v>
      </c>
      <c r="I30" s="5" t="str">
        <v>4</v>
      </c>
      <c r="J30" s="5" t="str">
        <v>5</v>
      </c>
      <c r="K30" s="5" t="str">
        <v>6</v>
      </c>
      <c r="L30" s="5" t="str">
        <v>7</v>
      </c>
      <c r="M30" s="5" t="str">
        <v>8</v>
      </c>
      <c r="N30" s="5" t="str">
        <v>9</v>
      </c>
      <c r="O30" s="5" t="str">
        <v>10</v>
      </c>
      <c r="P30" s="5" t="str">
        <v>11</v>
      </c>
      <c r="Q30" s="5" t="str">
        <v>12</v>
      </c>
      <c r="R30" t="str">
        <v>13</v>
      </c>
      <c r="S30" t="str">
        <v>14</v>
      </c>
      <c r="T30" t="str">
        <v>15</v>
      </c>
      <c r="U30" t="str">
        <v>16</v>
      </c>
      <c r="V30" t="str">
        <v>17</v>
      </c>
      <c r="W30" t="str">
        <v>18</v>
      </c>
      <c r="X30" t="str">
        <v>19</v>
      </c>
      <c r="Y30" t="str">
        <v>20</v>
      </c>
      <c r="Z30" t="str">
        <v>21</v>
      </c>
      <c r="AA30" t="str">
        <v>22</v>
      </c>
      <c r="AB30" t="str">
        <v>23</v>
      </c>
      <c r="AC30" t="str">
        <v>24</v>
      </c>
      <c r="AD30" t="str">
        <v>25</v>
      </c>
      <c r="AE30" t="str">
        <v>26</v>
      </c>
      <c r="AF30" t="str">
        <v>27</v>
      </c>
      <c r="AG30" t="str">
        <v>28</v>
      </c>
      <c r="AH30" t="str">
        <v>29</v>
      </c>
      <c r="AI30" t="str">
        <v>30</v>
      </c>
      <c r="AJ30" t="str">
        <v>31</v>
      </c>
      <c r="AK30" t="str">
        <v>32</v>
      </c>
      <c r="AL30" t="str">
        <v>33</v>
      </c>
      <c r="AM30" t="str">
        <v>34</v>
      </c>
      <c r="AN30" t="str">
        <v>35</v>
      </c>
      <c r="AO30" t="str">
        <v>36</v>
      </c>
      <c r="AP30" t="str">
        <v>37</v>
      </c>
      <c r="AQ30" t="str">
        <v>38</v>
      </c>
      <c r="AR30" t="str">
        <v>39</v>
      </c>
      <c r="AS30" t="str">
        <v>40</v>
      </c>
      <c r="AT30" t="str">
        <v>41</v>
      </c>
      <c r="AU30" t="str">
        <v>42</v>
      </c>
      <c r="AV30" t="str">
        <v>43</v>
      </c>
      <c r="AW30" t="str">
        <v>44</v>
      </c>
      <c r="AX30" t="str">
        <v>45</v>
      </c>
      <c r="AY30" t="str">
        <v>46</v>
      </c>
      <c r="AZ30" t="str">
        <v>47</v>
      </c>
      <c r="BA30" t="str">
        <v>48</v>
      </c>
      <c r="BB30" t="str">
        <v>49</v>
      </c>
      <c r="BC30" t="str">
        <v>50</v>
      </c>
    </row>
    <row r="31" spans="2:55" x14ac:dyDescent="0.3">
      <c r="E31" s="5" t="str">
        <v>y</v>
      </c>
      <c r="F31" s="5">
        <v>-0.16545096088781741</v>
      </c>
      <c r="G31" s="5">
        <v>1.307950548582967</v>
      </c>
      <c r="H31" s="5">
        <v>-0.59391284709123215</v>
      </c>
      <c r="I31" s="5">
        <v>0.40428304070487336</v>
      </c>
      <c r="J31" s="5">
        <v>0.17164317699759254</v>
      </c>
      <c r="K31" s="5">
        <v>-0.26652260943606343</v>
      </c>
      <c r="L31" s="5">
        <v>-1.0638619969577154</v>
      </c>
      <c r="M31" s="5">
        <v>-0.38404344863671053</v>
      </c>
      <c r="N31" s="5">
        <v>-0.13157834134074098</v>
      </c>
      <c r="O31" s="5">
        <v>0.1005206813711403</v>
      </c>
      <c r="P31" s="5">
        <v>0.57751212915355155</v>
      </c>
      <c r="Q31" s="5">
        <v>0.1136345827978076</v>
      </c>
      <c r="R31">
        <v>0.91686065468697486</v>
      </c>
      <c r="S31">
        <v>0.99865334667929107</v>
      </c>
      <c r="T31">
        <v>0.9618437368347954</v>
      </c>
      <c r="U31">
        <v>-0.92674079907278251</v>
      </c>
      <c r="V31">
        <v>-0.78329719356943406</v>
      </c>
      <c r="W31">
        <v>1.3355770566377452</v>
      </c>
      <c r="X31">
        <v>-0.31674899336388473</v>
      </c>
      <c r="Y31">
        <v>1.6350929467075832</v>
      </c>
      <c r="Z31">
        <v>1.0295690810022713</v>
      </c>
      <c r="AA31">
        <v>0.10726230534079266</v>
      </c>
      <c r="AB31">
        <v>-1.3672223631918545</v>
      </c>
      <c r="AC31">
        <v>0.29442087738084649</v>
      </c>
      <c r="AD31">
        <v>0.57205943424697214</v>
      </c>
      <c r="AE31">
        <v>-0.38694679124173997</v>
      </c>
      <c r="AF31">
        <v>-0.44886960919395147</v>
      </c>
      <c r="AG31">
        <v>3.4133669176599768E-2</v>
      </c>
      <c r="AH31">
        <v>0.5600754980478323</v>
      </c>
      <c r="AI31">
        <v>0.54119502050174706</v>
      </c>
      <c r="AJ31">
        <v>-0.49329416603137582</v>
      </c>
      <c r="AK31">
        <v>0.7237798540268513</v>
      </c>
      <c r="AL31">
        <v>1.5367268443850268</v>
      </c>
      <c r="AM31">
        <v>-0.27923573722842243</v>
      </c>
      <c r="AN31">
        <v>-0.56303042351446086</v>
      </c>
      <c r="AO31">
        <v>-0.69055417558371635</v>
      </c>
      <c r="AP31">
        <v>-0.90586129825604533</v>
      </c>
      <c r="AQ31">
        <v>0.85493921853525401</v>
      </c>
      <c r="AR31">
        <v>-1.4148208457580032</v>
      </c>
      <c r="AS31">
        <v>-1.1431974788126114</v>
      </c>
      <c r="AT31">
        <v>-0.26280144903154729</v>
      </c>
      <c r="AU31">
        <v>0.65786783306190977</v>
      </c>
      <c r="AV31">
        <v>-2.4847665687864482</v>
      </c>
      <c r="AW31">
        <v>0.26483047726978987</v>
      </c>
      <c r="AX31">
        <v>0.6208275151232493</v>
      </c>
      <c r="AY31">
        <v>0.87891582860747341</v>
      </c>
      <c r="AZ31">
        <v>1.207202563554864</v>
      </c>
      <c r="BA31">
        <v>0.68890043942416956</v>
      </c>
      <c r="BB31">
        <v>0.20188207494047422</v>
      </c>
      <c r="BC31">
        <v>-0.37118728304952725</v>
      </c>
    </row>
    <row r="32" spans="2:55" x14ac:dyDescent="0.3">
      <c r="E32" s="5" t="str">
        <v>x</v>
      </c>
      <c r="F32" s="5">
        <v>0.24036397248624272</v>
      </c>
      <c r="G32" s="5">
        <v>0.74203295859667606</v>
      </c>
      <c r="H32" s="5">
        <v>-0.26318556213097977</v>
      </c>
      <c r="I32" s="5">
        <v>-0.97381547531541124</v>
      </c>
      <c r="J32" s="5">
        <v>-0.54305851926406312</v>
      </c>
      <c r="K32" s="5">
        <v>-0.67075211521218769</v>
      </c>
      <c r="L32" s="5">
        <v>0.84344524060836412</v>
      </c>
      <c r="M32" s="5">
        <v>0.19684772609351106</v>
      </c>
      <c r="N32" s="5">
        <v>-1.264486907862157</v>
      </c>
      <c r="O32" s="5">
        <v>-2.0510726545336602</v>
      </c>
      <c r="P32" s="5">
        <v>-1.4126480195436717</v>
      </c>
      <c r="Q32" s="5">
        <v>-0.57255382492191564</v>
      </c>
      <c r="R32">
        <v>0.87109693109987252</v>
      </c>
      <c r="S32">
        <v>1.3416527140403887</v>
      </c>
      <c r="T32">
        <v>0.25601698227372316</v>
      </c>
      <c r="U32">
        <v>0.10013806742024849</v>
      </c>
      <c r="V32">
        <v>0.12002760088903172</v>
      </c>
      <c r="W32">
        <v>-1.747153643007521</v>
      </c>
      <c r="X32">
        <v>0.30700666113725067</v>
      </c>
      <c r="Y32">
        <v>0.95712261703682633</v>
      </c>
      <c r="Z32">
        <v>0.23895296669114344</v>
      </c>
      <c r="AA32">
        <v>1.1069463400091937</v>
      </c>
      <c r="AB32">
        <v>1.6170899550583084</v>
      </c>
      <c r="AC32">
        <v>0.96525073954120999</v>
      </c>
      <c r="AD32">
        <v>-1.7933123261118915</v>
      </c>
      <c r="AE32">
        <v>0.95155115311659022</v>
      </c>
      <c r="AF32">
        <v>2.0787212634495087</v>
      </c>
      <c r="AG32">
        <v>0.4916716184348417</v>
      </c>
      <c r="AH32">
        <v>-0.73140900298273448</v>
      </c>
      <c r="AI32">
        <v>1.24226201308411</v>
      </c>
      <c r="AJ32">
        <v>-0.2612303185737706</v>
      </c>
      <c r="AK32">
        <v>-1.3826114704689632</v>
      </c>
      <c r="AL32">
        <v>-1.8121585028742679</v>
      </c>
      <c r="AM32">
        <v>1.1387132289410722</v>
      </c>
      <c r="AN32">
        <v>0.33778324861816933</v>
      </c>
      <c r="AO32">
        <v>1.6605691781303973</v>
      </c>
      <c r="AP32">
        <v>-0.24983483998238559</v>
      </c>
      <c r="AQ32">
        <v>-1.137549996056445</v>
      </c>
      <c r="AR32">
        <v>-0.65359782659973875</v>
      </c>
      <c r="AS32">
        <v>-1.0083646649432447</v>
      </c>
      <c r="AT32">
        <v>1.2903821821594539</v>
      </c>
      <c r="AU32">
        <v>1.5735867238028953</v>
      </c>
      <c r="AV32">
        <v>-0.75089885085795516</v>
      </c>
      <c r="AW32">
        <v>2.1738944835152436</v>
      </c>
      <c r="AX32">
        <v>0.64401722202222933</v>
      </c>
      <c r="AY32">
        <v>-0.97559216487769063</v>
      </c>
      <c r="AZ32">
        <v>0.25673580021546666</v>
      </c>
      <c r="BA32">
        <v>-0.58108558955282097</v>
      </c>
      <c r="BB32">
        <v>-1.4114982915940648</v>
      </c>
      <c r="BC32">
        <v>1.6981217422112238</v>
      </c>
    </row>
    <row r="34" spans="2:54" x14ac:dyDescent="0.3">
      <c r="B34" s="5" t="s">
        <v>4</v>
      </c>
      <c r="D34" s="6" t="str" cm="1">
        <f t="array" ref="D34:D44">_xll.RScript.Evaluate(B34)</f>
        <v>call</v>
      </c>
      <c r="E34" t="str" cm="1">
        <f t="array" ref="E34">TRANSPOSE(_xll.RScript.Evaluate($B$34&amp;"$"&amp;D34))</f>
        <v>lm(formula = y ~ x)</v>
      </c>
    </row>
    <row r="35" spans="2:54" x14ac:dyDescent="0.3">
      <c r="B35" t="s">
        <v>39</v>
      </c>
      <c r="D35" s="6" t="str">
        <v>terms</v>
      </c>
      <c r="E35" t="str" cm="1">
        <f t="array" ref="E35">TRANSPOSE(_xll.RScript.Evaluate($B$34&amp;"$"&amp;D35))</f>
        <v>y ~ x</v>
      </c>
    </row>
    <row r="36" spans="2:54" x14ac:dyDescent="0.3">
      <c r="D36" s="6" t="str">
        <v>residuals</v>
      </c>
      <c r="E36" cm="1">
        <f t="array" ref="E36:BB36">TRANSPOSE(_xll.RScript.Evaluate($B$34&amp;"$"&amp;D36))</f>
        <v>-0.22552153148627149</v>
      </c>
      <c r="F36">
        <v>1.2962435052866932</v>
      </c>
      <c r="G36">
        <v>-0.70252823975309198</v>
      </c>
      <c r="H36">
        <v>0.2271591889602437</v>
      </c>
      <c r="I36">
        <v>3.6046560105801595E-2</v>
      </c>
      <c r="J36">
        <v>-0.41442956020325017</v>
      </c>
      <c r="K36">
        <v>-1.0657923631907413</v>
      </c>
      <c r="L36">
        <v>-0.44830921413214392</v>
      </c>
      <c r="M36">
        <v>-0.33672444710775457</v>
      </c>
      <c r="N36">
        <v>-0.18045642509137724</v>
      </c>
      <c r="O36">
        <v>0.35808251340620811</v>
      </c>
      <c r="P36">
        <v>-2.4805536602539226E-2</v>
      </c>
      <c r="Q36">
        <v>0.91759605676943956</v>
      </c>
      <c r="R36">
        <v>1.0447527997306805</v>
      </c>
      <c r="S36">
        <v>0.90328219866046544</v>
      </c>
      <c r="T36">
        <v>-1.0003298840221302</v>
      </c>
      <c r="U36">
        <v>-0.85496882294234045</v>
      </c>
      <c r="V36">
        <v>1.0838993404476023</v>
      </c>
      <c r="W36">
        <v>-0.37039485846668313</v>
      </c>
      <c r="X36">
        <v>1.6441216771114937</v>
      </c>
      <c r="Y36">
        <v>0.96936248202816677</v>
      </c>
      <c r="Z36">
        <v>0.13073483019304741</v>
      </c>
      <c r="AA36">
        <v>-1.2945693122605377</v>
      </c>
      <c r="AB36">
        <v>0.30423320151994881</v>
      </c>
      <c r="AC36">
        <v>0.3159317783707839</v>
      </c>
      <c r="AD36">
        <v>-0.37845517924634153</v>
      </c>
      <c r="AE36">
        <v>-0.33171287355208678</v>
      </c>
      <c r="AF36">
        <v>-1.7095233446968484E-3</v>
      </c>
      <c r="AG36">
        <v>0.4063209044544448</v>
      </c>
      <c r="AH36">
        <v>0.57771268753014371</v>
      </c>
      <c r="AI36">
        <v>-0.60172106293651229</v>
      </c>
      <c r="AJ36">
        <v>0.50724591949851416</v>
      </c>
      <c r="AK36">
        <v>1.2787823180033371</v>
      </c>
      <c r="AL36">
        <v>-0.2527007172993363</v>
      </c>
      <c r="AM36">
        <v>-0.61370926380585566</v>
      </c>
      <c r="AN36">
        <v>-0.61370949899814475</v>
      </c>
      <c r="AO36">
        <v>-1.0131896111242278</v>
      </c>
      <c r="AP36">
        <v>0.66203049831477001</v>
      </c>
      <c r="AQ36">
        <v>-1.5610740329308124</v>
      </c>
      <c r="AR36">
        <v>-1.3236520540464263</v>
      </c>
      <c r="AS36">
        <v>-0.22164474475888163</v>
      </c>
      <c r="AT36">
        <v>0.72632694382389928</v>
      </c>
      <c r="AU36">
        <v>-2.6404000861640959</v>
      </c>
      <c r="AV36">
        <v>0.39116241160745824</v>
      </c>
      <c r="AW36">
        <v>0.59967123959794133</v>
      </c>
      <c r="AX36">
        <v>0.70162069464980725</v>
      </c>
      <c r="AY36">
        <v>1.1487103232086107</v>
      </c>
      <c r="AZ36">
        <v>0.54963781306587467</v>
      </c>
      <c r="BA36">
        <v>-1.7436700988940606E-2</v>
      </c>
      <c r="BB36">
        <v>-0.29072234189015533</v>
      </c>
    </row>
    <row r="37" spans="2:54" x14ac:dyDescent="0.3">
      <c r="D37" s="6" t="str">
        <v>coefficients</v>
      </c>
    </row>
    <row r="38" spans="2:54" x14ac:dyDescent="0.3">
      <c r="D38" s="6" t="str">
        <v>aliased</v>
      </c>
      <c r="E38" t="b" cm="1">
        <f t="array" ref="E38:F38">TRANSPOSE(_xll.RScript.Evaluate($B$34&amp;"$"&amp;D38))</f>
        <v>0</v>
      </c>
      <c r="F38" t="b">
        <v>0</v>
      </c>
      <c r="I38" s="1"/>
      <c r="J38" s="1"/>
      <c r="K38" s="1"/>
      <c r="L38" s="1"/>
      <c r="M38" s="1"/>
    </row>
    <row r="39" spans="2:54" x14ac:dyDescent="0.3">
      <c r="D39" s="6" t="str">
        <v>sigma</v>
      </c>
      <c r="E39" cm="1">
        <f t="array" ref="E39">TRANSPOSE(_xll.RScript.Evaluate($B$34&amp;"$"&amp;D39))</f>
        <v>0.85537162902593444</v>
      </c>
      <c r="I39" s="1"/>
      <c r="R39" s="4"/>
    </row>
    <row r="40" spans="2:54" x14ac:dyDescent="0.3">
      <c r="D40" s="6" t="str">
        <v>df</v>
      </c>
      <c r="E40" cm="1">
        <f t="array" ref="E40:G40">TRANSPOSE(_xll.RScript.Evaluate($B$34&amp;"$"&amp;D40))</f>
        <v>2</v>
      </c>
      <c r="F40">
        <v>48</v>
      </c>
      <c r="G40">
        <v>2</v>
      </c>
      <c r="I40" s="1"/>
    </row>
    <row r="41" spans="2:54" x14ac:dyDescent="0.3">
      <c r="D41" s="6" t="str">
        <v>r.squared</v>
      </c>
      <c r="E41" cm="1">
        <f t="array" ref="E41">TRANSPOSE(_xll.RScript.Evaluate($B$34&amp;"$"&amp;D41))</f>
        <v>1.6055218390311911E-2</v>
      </c>
    </row>
    <row r="42" spans="2:54" x14ac:dyDescent="0.3">
      <c r="D42" s="6" t="str">
        <v>adj.r.squared</v>
      </c>
      <c r="E42" cm="1">
        <f t="array" ref="E42">TRANSPOSE(_xll.RScript.Evaluate($B$34&amp;"$"&amp;D42))</f>
        <v>-4.4436312265565547E-3</v>
      </c>
    </row>
    <row r="43" spans="2:54" x14ac:dyDescent="0.3">
      <c r="D43" s="6" t="str">
        <v>fstatistic</v>
      </c>
      <c r="E43" cm="1">
        <f t="array" ref="E43:G43">TRANSPOSE(_xll.RScript.Evaluate($B$34&amp;"$"&amp;D43))</f>
        <v>0.78322533656230497</v>
      </c>
      <c r="F43">
        <v>1</v>
      </c>
      <c r="G43">
        <v>48</v>
      </c>
    </row>
    <row r="44" spans="2:54" x14ac:dyDescent="0.3">
      <c r="D44" s="6" t="str">
        <v>cov.unscaled</v>
      </c>
      <c r="E44" cm="1">
        <f t="array" ref="E44:F45">TRANSPOSE(_xll.RScript.Evaluate($B$34&amp;"$"&amp;D44))</f>
        <v>2.0066186648894452E-2</v>
      </c>
      <c r="F44">
        <v>-1.0360666766140157E-3</v>
      </c>
    </row>
    <row r="45" spans="2:54" x14ac:dyDescent="0.3">
      <c r="E45">
        <v>-1.0360666766140157E-3</v>
      </c>
      <c r="F45">
        <v>1.6218288375678378E-2</v>
      </c>
    </row>
    <row r="47" spans="2:54" x14ac:dyDescent="0.3">
      <c r="B47" t="s">
        <v>46</v>
      </c>
      <c r="D47" t="str" cm="1">
        <f t="array" ref="D47:F53">_xll.RScript.Evaluate(B35)</f>
        <v>Index</v>
      </c>
      <c r="E47" t="str">
        <v>Var1</v>
      </c>
      <c r="F47" t="str">
        <v>Freq</v>
      </c>
      <c r="H47" t="str" cm="1">
        <f t="array" ref="H47">_xll.RScript.Evaluate(B47,"DataFrame")</f>
        <v xml:space="preserve">Exception: Error in dimnames(x) &lt;- dnx : 'dimnames' applied to non-array
</v>
      </c>
    </row>
    <row r="48" spans="2:54" x14ac:dyDescent="0.3">
      <c r="D48" t="str">
        <v>1</v>
      </c>
      <c r="E48" t="str">
        <v>Min.</v>
      </c>
      <c r="F48">
        <v>-2.6404000861640959</v>
      </c>
    </row>
    <row r="49" spans="2:15" x14ac:dyDescent="0.3">
      <c r="D49" t="str">
        <v>2</v>
      </c>
      <c r="E49" t="str">
        <v>1st Qu.</v>
      </c>
      <c r="F49">
        <v>-0.43983930064992049</v>
      </c>
    </row>
    <row r="50" spans="2:15" x14ac:dyDescent="0.3">
      <c r="D50" t="str">
        <v>3</v>
      </c>
      <c r="E50" t="str">
        <v>Median</v>
      </c>
      <c r="F50">
        <v>-9.5731121668187272E-3</v>
      </c>
    </row>
    <row r="51" spans="2:15" x14ac:dyDescent="0.3">
      <c r="D51" t="str">
        <v>4</v>
      </c>
      <c r="E51" t="str">
        <v>Mean</v>
      </c>
      <c r="F51">
        <v>1.2543134933484801E-17</v>
      </c>
    </row>
    <row r="52" spans="2:15" x14ac:dyDescent="0.3">
      <c r="D52" t="str">
        <v>5</v>
      </c>
      <c r="E52" t="str">
        <v>3rd Qu.</v>
      </c>
      <c r="F52">
        <v>0.59418160158099198</v>
      </c>
    </row>
    <row r="53" spans="2:15" x14ac:dyDescent="0.3">
      <c r="D53" t="str">
        <v>6</v>
      </c>
      <c r="E53" t="str">
        <v>Max.</v>
      </c>
      <c r="F53">
        <v>1.6441216771114937</v>
      </c>
    </row>
    <row r="55" spans="2:15" x14ac:dyDescent="0.3">
      <c r="B55" s="5" t="str">
        <f>"coef = round(as.data.frame("&amp;B34&amp;"$"&amp;D37&amp;"), 4)"</f>
        <v>coef = round(as.data.frame(summary(fm)$coefficients), 4)</v>
      </c>
      <c r="D55" s="6" t="str" cm="1">
        <f t="array" ref="D55">_xll.RScript.Evaluate(B55)</f>
        <v>coef</v>
      </c>
      <c r="E55" s="1" t="str" cm="1">
        <f t="array" ref="E55:I57">_xll.RScript.Evaluate(D55)</f>
        <v>Index</v>
      </c>
      <c r="F55" s="1" t="str">
        <v>Estimate</v>
      </c>
      <c r="G55" s="1" t="str">
        <v>Std. Error</v>
      </c>
      <c r="H55" s="1" t="str">
        <v>t value</v>
      </c>
      <c r="I55" s="1" t="str">
        <v>Pr(&gt;|t|)</v>
      </c>
      <c r="K55" t="str" cm="1">
        <f t="array" ref="K55:O57">_xll.RScript.Evaluate(B56, "DataFrame")</f>
        <v>Index</v>
      </c>
      <c r="L55" t="str">
        <v>Estimate</v>
      </c>
      <c r="M55" t="str">
        <v>Std. Error</v>
      </c>
      <c r="N55" t="str">
        <v>t value</v>
      </c>
      <c r="O55" t="str">
        <v>Pr(&gt;|t|)</v>
      </c>
    </row>
    <row r="56" spans="2:15" x14ac:dyDescent="0.3">
      <c r="B56" t="s">
        <v>47</v>
      </c>
      <c r="E56" s="1" t="str">
        <v>(Intercept)</v>
      </c>
      <c r="F56">
        <v>8.3199999999999996E-2</v>
      </c>
      <c r="G56">
        <v>0.1212</v>
      </c>
      <c r="H56">
        <v>0.68700000000000006</v>
      </c>
      <c r="I56">
        <v>0.49540000000000001</v>
      </c>
      <c r="K56" t="str">
        <v>(Intercept)</v>
      </c>
      <c r="L56">
        <v>8.3242921028025732E-2</v>
      </c>
      <c r="M56">
        <v>0.12116781189599471</v>
      </c>
      <c r="N56">
        <v>0.68700523452117723</v>
      </c>
      <c r="O56">
        <v>0.49538539249663127</v>
      </c>
    </row>
    <row r="57" spans="2:15" x14ac:dyDescent="0.3">
      <c r="E57" s="1" t="str">
        <v>x</v>
      </c>
      <c r="F57">
        <v>-9.64E-2</v>
      </c>
      <c r="G57">
        <v>0.1089</v>
      </c>
      <c r="H57">
        <v>-0.88500000000000001</v>
      </c>
      <c r="I57">
        <v>0.38059999999999999</v>
      </c>
      <c r="K57" t="str">
        <v>x</v>
      </c>
      <c r="L57">
        <v>-9.6405256536097425E-2</v>
      </c>
      <c r="M57">
        <v>0.10893246985625667</v>
      </c>
      <c r="N57">
        <v>-0.88500019014817444</v>
      </c>
      <c r="O57">
        <v>0.3805684851417751</v>
      </c>
    </row>
    <row r="59" spans="2:15" x14ac:dyDescent="0.3">
      <c r="B59" t="s">
        <v>5</v>
      </c>
      <c r="E59" s="1" t="str" cm="1">
        <f t="array" ref="E59:J61">_xll.RScript.Evaluate(B59)</f>
        <v>Index</v>
      </c>
      <c r="F59" s="1" t="str">
        <v>Df</v>
      </c>
      <c r="G59" s="1" t="str">
        <v>Sum Sq</v>
      </c>
      <c r="H59" s="1" t="str">
        <v>Mean Sq</v>
      </c>
      <c r="I59" s="1" t="str">
        <v>F value</v>
      </c>
      <c r="J59" s="1" t="str">
        <v>Pr(&gt;F)</v>
      </c>
    </row>
    <row r="60" spans="2:15" x14ac:dyDescent="0.3">
      <c r="E60" s="1" t="str">
        <v>x</v>
      </c>
      <c r="F60">
        <v>1</v>
      </c>
      <c r="G60">
        <v>0.26452252628379735</v>
      </c>
      <c r="H60">
        <v>0.26452252628379735</v>
      </c>
      <c r="I60">
        <v>0.3670113113185195</v>
      </c>
      <c r="J60">
        <v>0.54749204609353308</v>
      </c>
    </row>
    <row r="61" spans="2:15" x14ac:dyDescent="0.3">
      <c r="E61" s="1" t="str">
        <v>Residuals</v>
      </c>
      <c r="F61">
        <v>48</v>
      </c>
      <c r="G61">
        <v>34.595885385676326</v>
      </c>
      <c r="H61">
        <v>0.72074761220159012</v>
      </c>
      <c r="I61" t="str">
        <v/>
      </c>
      <c r="J61" t="str">
        <v/>
      </c>
    </row>
    <row r="63" spans="2:15" x14ac:dyDescent="0.3">
      <c r="B63" t="s">
        <v>2</v>
      </c>
      <c r="D63" t="str" cm="1">
        <f t="array" ref="D63">_xll.RScript.Evaluate(B63)</f>
        <v>OK</v>
      </c>
    </row>
    <row r="85" spans="2:4" x14ac:dyDescent="0.3">
      <c r="B85" t="s">
        <v>36</v>
      </c>
      <c r="D85" t="str" cm="1">
        <f t="array" ref="D85">_xll.RScript.Evaluate(B85)</f>
        <v xml:space="preserve">Exception: Error: object 'fm' not found
</v>
      </c>
    </row>
    <row r="89" spans="2:4" x14ac:dyDescent="0.3">
      <c r="B89" s="4" t="s">
        <v>32</v>
      </c>
      <c r="C89" s="4" t="s">
        <v>44</v>
      </c>
    </row>
    <row r="90" spans="2:4" x14ac:dyDescent="0.3">
      <c r="B90" s="4" t="str">
        <f>"rm("&amp;C89&amp;")"</f>
        <v>rm(=TRANSPOSE(TEXTJOIN(",",TRUE,RScript.Evaluate(B89))))</v>
      </c>
      <c r="C90" s="4" t="s">
        <v>45</v>
      </c>
    </row>
    <row r="93" spans="2:4" x14ac:dyDescent="0.3">
      <c r="B93" t="s">
        <v>37</v>
      </c>
      <c r="D93" t="str" cm="1">
        <f t="array" ref="D93">_xll.RScript.Evaluate(B93, "true")</f>
        <v>OK</v>
      </c>
    </row>
    <row r="95" spans="2:4" x14ac:dyDescent="0.3">
      <c r="B95" t="s">
        <v>38</v>
      </c>
      <c r="D95" t="str" cm="1">
        <f t="array" ref="D95">_xll.RScript.Evaluate(B95, "true")</f>
        <v xml:space="preserve">Exception: Error in ggplot(df, aes(x = x, y = y)) : 
i Have you misspelled the `data` argument in `ggplot()`
</v>
      </c>
    </row>
    <row r="111" spans="2:2" x14ac:dyDescent="0.3">
      <c r="B11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73C2-CAA1-4EC5-884E-E8AA37D56572}">
  <dimension ref="B2:I18"/>
  <sheetViews>
    <sheetView showGridLines="0" workbookViewId="0">
      <selection activeCell="B12" sqref="B12"/>
    </sheetView>
  </sheetViews>
  <sheetFormatPr defaultRowHeight="11.4" x14ac:dyDescent="0.2"/>
  <cols>
    <col min="1" max="1" width="5.33203125" style="7" customWidth="1"/>
    <col min="2" max="2" width="28.88671875" style="7" customWidth="1"/>
    <col min="3" max="3" width="5.33203125" style="7" customWidth="1"/>
    <col min="4" max="4" width="11.44140625" style="7" customWidth="1"/>
    <col min="5" max="5" width="9" style="7" bestFit="1" customWidth="1"/>
    <col min="6" max="6" width="10" style="7" bestFit="1" customWidth="1"/>
    <col min="7" max="7" width="15.77734375" style="7" bestFit="1" customWidth="1"/>
    <col min="8" max="9" width="9" style="7" bestFit="1" customWidth="1"/>
    <col min="10" max="16384" width="8.88671875" style="7"/>
  </cols>
  <sheetData>
    <row r="2" spans="2:9" x14ac:dyDescent="0.2">
      <c r="B2" s="11" t="s">
        <v>43</v>
      </c>
      <c r="C2" s="11"/>
      <c r="D2" s="11"/>
      <c r="E2" s="11"/>
      <c r="F2" s="11"/>
      <c r="G2" s="11"/>
      <c r="H2" s="11"/>
      <c r="I2" s="11"/>
    </row>
    <row r="3" spans="2:9" x14ac:dyDescent="0.2">
      <c r="B3" s="8" t="str">
        <f>"Call: "&amp;'Linear Model'!E34</f>
        <v>Call: lm(formula = y ~ x)</v>
      </c>
      <c r="C3" s="8"/>
      <c r="D3" s="8"/>
      <c r="E3" s="8"/>
      <c r="F3" s="8"/>
      <c r="G3" s="8"/>
      <c r="H3" s="8"/>
      <c r="I3" s="8"/>
    </row>
    <row r="5" spans="2:9" x14ac:dyDescent="0.2">
      <c r="B5" s="8" t="s">
        <v>40</v>
      </c>
      <c r="C5" s="8"/>
      <c r="D5" s="8" t="str" cm="1">
        <f t="array" ref="D5:I6">TRANSPOSE('Linear Model'!E48:F53)</f>
        <v>Min.</v>
      </c>
      <c r="E5" s="8" t="str">
        <v>1st Qu.</v>
      </c>
      <c r="F5" s="8" t="str">
        <v>Median</v>
      </c>
      <c r="G5" s="8" t="str">
        <v>Mean</v>
      </c>
      <c r="H5" s="8" t="str">
        <v>3rd Qu.</v>
      </c>
      <c r="I5" s="8" t="str">
        <v>Max.</v>
      </c>
    </row>
    <row r="6" spans="2:9" x14ac:dyDescent="0.2">
      <c r="D6" s="10">
        <v>-2.6404000861640959</v>
      </c>
      <c r="E6" s="10">
        <v>-0.43983930064992049</v>
      </c>
      <c r="F6" s="10">
        <v>-9.5731121668187272E-3</v>
      </c>
      <c r="G6" s="9">
        <v>1.2543134933484801E-17</v>
      </c>
      <c r="H6" s="10">
        <v>0.59418160158099198</v>
      </c>
      <c r="I6" s="10">
        <v>1.6441216771114937</v>
      </c>
    </row>
    <row r="8" spans="2:9" x14ac:dyDescent="0.2">
      <c r="B8" s="8" t="s">
        <v>41</v>
      </c>
      <c r="C8" s="8"/>
      <c r="D8" s="8" t="str" cm="1">
        <f t="array" ref="D8:H10">_xlfn.ANCHORARRAY('Linear Model'!E55)</f>
        <v>Index</v>
      </c>
      <c r="E8" s="8" t="str">
        <v>Estimate</v>
      </c>
      <c r="F8" s="8" t="str">
        <v>Std. Error</v>
      </c>
      <c r="G8" s="8" t="str">
        <v>t value</v>
      </c>
      <c r="H8" s="8" t="str">
        <v>Pr(&gt;|t|)</v>
      </c>
      <c r="I8" s="8"/>
    </row>
    <row r="9" spans="2:9" x14ac:dyDescent="0.2">
      <c r="D9" s="8" t="str">
        <v>(Intercept)</v>
      </c>
      <c r="E9" s="8">
        <v>8.3199999999999996E-2</v>
      </c>
      <c r="F9" s="8">
        <v>0.1212</v>
      </c>
      <c r="G9" s="8">
        <v>0.68700000000000006</v>
      </c>
      <c r="H9" s="8">
        <v>0.49540000000000001</v>
      </c>
      <c r="I9" s="8"/>
    </row>
    <row r="10" spans="2:9" x14ac:dyDescent="0.2">
      <c r="D10" s="8" t="str">
        <v>x</v>
      </c>
      <c r="E10" s="8">
        <v>-9.64E-2</v>
      </c>
      <c r="F10" s="10">
        <v>0.1089</v>
      </c>
      <c r="G10" s="8">
        <v>-0.88500000000000001</v>
      </c>
      <c r="H10" s="10">
        <v>0.38059999999999999</v>
      </c>
      <c r="I10" s="8"/>
    </row>
    <row r="12" spans="2:9" x14ac:dyDescent="0.2">
      <c r="B12" s="8" t="str">
        <f>"Residual standard error: "&amp;ROUND('Linear Model'!E39, 3)&amp;" on "&amp;'Linear Model'!E26&amp;" degrees of freedom"</f>
        <v>Residual standard error: 0.855 on 48 degrees of freedom</v>
      </c>
      <c r="C12" s="8"/>
      <c r="D12" s="8"/>
      <c r="E12" s="8"/>
      <c r="F12" s="8"/>
      <c r="G12" s="8"/>
      <c r="H12" s="8"/>
      <c r="I12" s="8"/>
    </row>
    <row r="13" spans="2:9" x14ac:dyDescent="0.2">
      <c r="B13" s="8" t="str">
        <f>"Multiple R-squared: "&amp;ROUND('Linear Model'!E41, 4)</f>
        <v>Multiple R-squared: 0.0161</v>
      </c>
      <c r="C13" s="8" t="str">
        <f>"Adjusted R-squared: "&amp;ROUND('Linear Model'!E42, 4)</f>
        <v>Adjusted R-squared: -0.0044</v>
      </c>
      <c r="D13" s="8"/>
      <c r="E13" s="8"/>
      <c r="F13" s="8"/>
      <c r="G13" s="8"/>
      <c r="H13" s="8"/>
      <c r="I13" s="8"/>
    </row>
    <row r="14" spans="2:9" x14ac:dyDescent="0.2">
      <c r="B14" s="8" t="str">
        <f>"F-statistic: "&amp;ROUND('Linear Model'!E43, 2)&amp;" on "&amp;'Linear Model'!F43&amp;" and "&amp;'Linear Model'!G43&amp;" DF"</f>
        <v>F-statistic: 0.78 on 1 and 48 DF</v>
      </c>
      <c r="C14" s="8"/>
      <c r="D14" s="8"/>
      <c r="E14" s="8"/>
      <c r="F14" s="8"/>
      <c r="G14" s="8"/>
      <c r="H14" s="8"/>
      <c r="I14" s="8"/>
    </row>
    <row r="16" spans="2:9" x14ac:dyDescent="0.2">
      <c r="B16" s="8" t="s">
        <v>42</v>
      </c>
      <c r="C16" s="8"/>
      <c r="D16" s="8" t="str" cm="1">
        <f t="array" ref="D16:I18">_xlfn.ANCHORARRAY('Linear Model'!E59)</f>
        <v>Index</v>
      </c>
      <c r="E16" s="8" t="str">
        <v>Df</v>
      </c>
      <c r="F16" s="8" t="str">
        <v>Sum Sq</v>
      </c>
      <c r="G16" s="8" t="str">
        <v>Mean Sq</v>
      </c>
      <c r="H16" s="8" t="str">
        <v>F value</v>
      </c>
      <c r="I16" s="8" t="str">
        <v>Pr(&gt;F)</v>
      </c>
    </row>
    <row r="17" spans="2:9" x14ac:dyDescent="0.2">
      <c r="B17" s="8"/>
      <c r="C17" s="8"/>
      <c r="D17" s="8" t="str">
        <v>x</v>
      </c>
      <c r="E17" s="8">
        <v>1</v>
      </c>
      <c r="F17" s="10">
        <v>0.26452252628379735</v>
      </c>
      <c r="G17" s="10">
        <v>0.26452252628379735</v>
      </c>
      <c r="H17" s="10">
        <v>0.3670113113185195</v>
      </c>
      <c r="I17" s="10">
        <v>0.54749204609353308</v>
      </c>
    </row>
    <row r="18" spans="2:9" x14ac:dyDescent="0.2">
      <c r="B18" s="8"/>
      <c r="C18" s="8"/>
      <c r="D18" s="8" t="str">
        <v>Residuals</v>
      </c>
      <c r="E18" s="8">
        <v>48</v>
      </c>
      <c r="F18" s="10">
        <v>34.595885385676326</v>
      </c>
      <c r="G18" s="10">
        <v>0.72074761220159012</v>
      </c>
      <c r="H18" s="8" t="str">
        <v/>
      </c>
      <c r="I18" s="8" t="str">
        <v/>
      </c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137A-AC86-4C17-97C8-77A96C22EEAE}">
  <dimension ref="B2:R59"/>
  <sheetViews>
    <sheetView topLeftCell="A43" workbookViewId="0">
      <selection activeCell="B59" sqref="B59"/>
    </sheetView>
  </sheetViews>
  <sheetFormatPr defaultRowHeight="14.4" x14ac:dyDescent="0.3"/>
  <cols>
    <col min="2" max="2" width="44.109375" customWidth="1"/>
  </cols>
  <sheetData>
    <row r="2" spans="2:17" x14ac:dyDescent="0.3">
      <c r="B2" t="s">
        <v>6</v>
      </c>
      <c r="C2" t="str" cm="1">
        <f t="array" ref="C2">_xll.RScript.Evaluate(B2)</f>
        <v>x</v>
      </c>
    </row>
    <row r="3" spans="2:17" x14ac:dyDescent="0.3">
      <c r="B3" t="s">
        <v>7</v>
      </c>
      <c r="C3" t="str" cm="1">
        <f t="array" ref="C3">_xll.RScript.Evaluate(B3)</f>
        <v>y</v>
      </c>
    </row>
    <row r="4" spans="2:17" x14ac:dyDescent="0.3">
      <c r="B4" t="s">
        <v>8</v>
      </c>
      <c r="C4" cm="1">
        <f t="array" ref="C4:Q4">TRANSPOSE(_xll.RScript.Evaluate(B4))</f>
        <v>3.0791978838770856E-2</v>
      </c>
      <c r="D4">
        <v>0.10351232004599553</v>
      </c>
      <c r="E4">
        <v>0.11437892297381753</v>
      </c>
      <c r="F4">
        <v>0.27957318459379377</v>
      </c>
      <c r="G4">
        <v>0.24703052036472256</v>
      </c>
      <c r="H4">
        <v>0.28799151366236381</v>
      </c>
      <c r="I4">
        <v>0.1641251131424642</v>
      </c>
      <c r="J4">
        <v>0.2125209879877088</v>
      </c>
      <c r="K4">
        <v>8.9110367280575392E-2</v>
      </c>
      <c r="L4">
        <v>0.29343342814550072</v>
      </c>
      <c r="M4">
        <v>4.8538344019857793E-3</v>
      </c>
      <c r="N4">
        <v>0.18922968109415322</v>
      </c>
      <c r="O4">
        <v>0.1372592664064079</v>
      </c>
      <c r="P4">
        <v>0.10332716144876135</v>
      </c>
      <c r="Q4">
        <v>0.21914586654744209</v>
      </c>
    </row>
    <row r="5" spans="2:17" x14ac:dyDescent="0.3">
      <c r="B5" t="s">
        <v>9</v>
      </c>
      <c r="C5" t="str" cm="1">
        <f t="array" ref="C5">_xll.RScript.Evaluate(B5)</f>
        <v>new</v>
      </c>
    </row>
    <row r="6" spans="2:17" x14ac:dyDescent="0.3">
      <c r="B6" t="s">
        <v>10</v>
      </c>
      <c r="C6" t="str" cm="1">
        <f t="array" ref="C6:F6">TRANSPOSE(_xll.RScript.Evaluate(B6))</f>
        <v>fit</v>
      </c>
      <c r="D6" t="str">
        <v>se.fit</v>
      </c>
      <c r="E6" t="str">
        <v>df</v>
      </c>
      <c r="F6" t="str">
        <v>residual.scale</v>
      </c>
    </row>
    <row r="7" spans="2:17" ht="28.8" x14ac:dyDescent="0.3">
      <c r="B7" s="2" t="s">
        <v>11</v>
      </c>
      <c r="C7" t="str" cm="1">
        <f t="array" ref="C7">TRANSPOSE(_xll.RScript.Evaluate(B7))</f>
        <v>pred.w.plim</v>
      </c>
    </row>
    <row r="8" spans="2:17" ht="28.8" x14ac:dyDescent="0.3">
      <c r="B8" s="2" t="s">
        <v>12</v>
      </c>
      <c r="C8" t="str" cm="1">
        <f t="array" ref="C8">TRANSPOSE(_xll.RScript.Evaluate(B8))</f>
        <v>pred.w.clim</v>
      </c>
    </row>
    <row r="9" spans="2:17" ht="28.8" x14ac:dyDescent="0.3">
      <c r="B9" s="2" t="s">
        <v>13</v>
      </c>
      <c r="C9" t="str" cm="1">
        <f t="array" ref="C9">TRANSPOSE(_xll.RScript.Evaluate(B9))</f>
        <v>OK</v>
      </c>
    </row>
    <row r="25" spans="2:18" x14ac:dyDescent="0.3">
      <c r="B25" t="s">
        <v>14</v>
      </c>
    </row>
    <row r="26" spans="2:18" x14ac:dyDescent="0.3">
      <c r="B26" t="s">
        <v>15</v>
      </c>
    </row>
    <row r="27" spans="2:18" x14ac:dyDescent="0.3">
      <c r="B27" t="s">
        <v>16</v>
      </c>
      <c r="C27" t="str" cm="1">
        <f t="array" ref="C27">TRANSPOSE(_xll.RScript.Evaluate(B27))</f>
        <v>w</v>
      </c>
    </row>
    <row r="28" spans="2:18" x14ac:dyDescent="0.3">
      <c r="B28" t="s">
        <v>17</v>
      </c>
      <c r="C28" t="str" cm="1">
        <f t="array" ref="C28">TRANSPOSE(_xll.RScript.Evaluate(B28))</f>
        <v>fit</v>
      </c>
    </row>
    <row r="29" spans="2:18" x14ac:dyDescent="0.3">
      <c r="B29" t="s">
        <v>18</v>
      </c>
      <c r="C29" t="str" cm="1">
        <f t="array" ref="C29">TRANSPOSE(_xll.RScript.Evaluate(B29))</f>
        <v>wfit</v>
      </c>
    </row>
    <row r="30" spans="2:18" x14ac:dyDescent="0.3">
      <c r="B30" t="s">
        <v>19</v>
      </c>
      <c r="C30" t="str" cm="1">
        <f t="array" ref="C30:R33">TRANSPOSE(_xll.RScript.Evaluate(B30, "DataFrame"))</f>
        <v>Index</v>
      </c>
      <c r="D30" t="str">
        <v>1</v>
      </c>
      <c r="E30" t="str">
        <v>2</v>
      </c>
      <c r="F30" t="str">
        <v>3</v>
      </c>
      <c r="G30" t="str">
        <v>4</v>
      </c>
      <c r="H30" t="str">
        <v>5</v>
      </c>
      <c r="I30" t="str">
        <v>6</v>
      </c>
      <c r="J30" t="str">
        <v>7</v>
      </c>
      <c r="K30" t="str">
        <v>8</v>
      </c>
      <c r="L30" t="str">
        <v>9</v>
      </c>
      <c r="M30" t="str">
        <v>10</v>
      </c>
      <c r="N30" t="str">
        <v>11</v>
      </c>
      <c r="O30" t="str">
        <v>12</v>
      </c>
      <c r="P30" t="str">
        <v>13</v>
      </c>
      <c r="Q30" t="str">
        <v>14</v>
      </c>
      <c r="R30" t="str">
        <v>15</v>
      </c>
    </row>
    <row r="31" spans="2:18" x14ac:dyDescent="0.3">
      <c r="C31" t="str">
        <v>fit</v>
      </c>
      <c r="D31">
        <v>-0.50015150866533797</v>
      </c>
      <c r="E31">
        <v>1.8441742009165059</v>
      </c>
      <c r="F31">
        <v>-2.0305014396555641</v>
      </c>
      <c r="G31">
        <v>7.3194832127196255E-2</v>
      </c>
      <c r="H31">
        <v>-0.10620787568641107</v>
      </c>
      <c r="I31">
        <v>0.13916473430692897</v>
      </c>
      <c r="J31">
        <v>0.69308843162214362</v>
      </c>
      <c r="K31">
        <v>-0.62919515885903654</v>
      </c>
      <c r="L31">
        <v>0.86435563075310806</v>
      </c>
      <c r="M31">
        <v>-0.15590931375969697</v>
      </c>
      <c r="N31">
        <v>-0.71193379002101553</v>
      </c>
      <c r="O31">
        <v>1.3573223313036062</v>
      </c>
      <c r="P31">
        <v>-1.8294545243299636</v>
      </c>
      <c r="Q31">
        <v>0.37952818736321364</v>
      </c>
      <c r="R31">
        <v>-1.8283893778739926</v>
      </c>
    </row>
    <row r="32" spans="2:18" x14ac:dyDescent="0.3">
      <c r="C32" t="str">
        <v>lwr</v>
      </c>
      <c r="D32">
        <v>-2.5017912305844789</v>
      </c>
      <c r="E32">
        <v>-0.34846774060965746</v>
      </c>
      <c r="F32">
        <v>-4.1978350594863443</v>
      </c>
      <c r="G32">
        <v>-1.9254671025929748</v>
      </c>
      <c r="H32">
        <v>-2.102181438785407</v>
      </c>
      <c r="I32">
        <v>-1.8613131734728652</v>
      </c>
      <c r="J32">
        <v>-1.3399329957316541</v>
      </c>
      <c r="K32">
        <v>-2.6361320175716605</v>
      </c>
      <c r="L32">
        <v>-1.1848355368364003</v>
      </c>
      <c r="M32">
        <v>-2.1517214543468128</v>
      </c>
      <c r="N32">
        <v>-2.7231515305824217</v>
      </c>
      <c r="O32">
        <v>-0.75365001767527318</v>
      </c>
      <c r="P32">
        <v>-3.9629685190365347</v>
      </c>
      <c r="Q32">
        <v>-1.6313034857370907</v>
      </c>
      <c r="R32">
        <v>-3.9617330962944353</v>
      </c>
    </row>
    <row r="33" spans="2:18" x14ac:dyDescent="0.3">
      <c r="C33" t="str">
        <v>upr</v>
      </c>
      <c r="D33">
        <v>1.5014882132538028</v>
      </c>
      <c r="E33">
        <v>4.0368161424426692</v>
      </c>
      <c r="F33">
        <v>0.13683218017521614</v>
      </c>
      <c r="G33">
        <v>2.0718567668473673</v>
      </c>
      <c r="H33">
        <v>1.889765687412585</v>
      </c>
      <c r="I33">
        <v>2.1396426420867232</v>
      </c>
      <c r="J33">
        <v>2.7261098589759416</v>
      </c>
      <c r="K33">
        <v>1.3777416998535872</v>
      </c>
      <c r="L33">
        <v>2.9135467983426167</v>
      </c>
      <c r="M33">
        <v>1.8399028268274191</v>
      </c>
      <c r="N33">
        <v>1.2992839505403908</v>
      </c>
      <c r="O33">
        <v>3.4682946802824857</v>
      </c>
      <c r="P33">
        <v>0.30405947037660752</v>
      </c>
      <c r="Q33">
        <v>2.3903598604635179</v>
      </c>
      <c r="R33">
        <v>0.3049543405464501</v>
      </c>
    </row>
    <row r="35" spans="2:18" x14ac:dyDescent="0.3">
      <c r="B35" t="s">
        <v>20</v>
      </c>
      <c r="C35" t="str" cm="1">
        <f t="array" ref="C35:R38">TRANSPOSE(_xll.RScript.Evaluate(B35, "DataFrame"))</f>
        <v>Index</v>
      </c>
      <c r="D35" t="str">
        <v>1</v>
      </c>
      <c r="E35" t="str">
        <v>2</v>
      </c>
      <c r="F35" t="str">
        <v>3</v>
      </c>
      <c r="G35" t="str">
        <v>4</v>
      </c>
      <c r="H35" t="str">
        <v>5</v>
      </c>
      <c r="I35" t="str">
        <v>6</v>
      </c>
      <c r="J35" t="str">
        <v>7</v>
      </c>
      <c r="K35" t="str">
        <v>8</v>
      </c>
      <c r="L35" t="str">
        <v>9</v>
      </c>
      <c r="M35" t="str">
        <v>10</v>
      </c>
      <c r="N35" t="str">
        <v>11</v>
      </c>
      <c r="O35" t="str">
        <v>12</v>
      </c>
      <c r="P35" t="str">
        <v>13</v>
      </c>
      <c r="Q35" t="str">
        <v>14</v>
      </c>
      <c r="R35" t="str">
        <v>15</v>
      </c>
    </row>
    <row r="36" spans="2:18" x14ac:dyDescent="0.3">
      <c r="C36" t="str">
        <v>fit</v>
      </c>
      <c r="D36">
        <v>-0.57016964755585542</v>
      </c>
      <c r="E36">
        <v>1.3561014232058244</v>
      </c>
      <c r="F36">
        <v>-1.8276181275857124</v>
      </c>
      <c r="G36">
        <v>-9.906596717488951E-2</v>
      </c>
      <c r="H36">
        <v>-0.24647647616056406</v>
      </c>
      <c r="I36">
        <v>-4.4860225374419499E-2</v>
      </c>
      <c r="J36">
        <v>0.41028437726612776</v>
      </c>
      <c r="K36">
        <v>-0.67620143708818503</v>
      </c>
      <c r="L36">
        <v>0.55101015172141965</v>
      </c>
      <c r="M36">
        <v>-0.28731484684622299</v>
      </c>
      <c r="N36">
        <v>-0.74418560455703431</v>
      </c>
      <c r="O36">
        <v>0.95606798572377694</v>
      </c>
      <c r="P36">
        <v>-1.6624231398437344</v>
      </c>
      <c r="Q36">
        <v>0.15264013227566586</v>
      </c>
      <c r="R36">
        <v>-1.6615479368820147</v>
      </c>
    </row>
    <row r="37" spans="2:18" x14ac:dyDescent="0.3">
      <c r="C37" t="str">
        <v>lwr</v>
      </c>
      <c r="D37">
        <v>-3.3436253984760302</v>
      </c>
      <c r="E37">
        <v>-0.23600258066338919</v>
      </c>
      <c r="F37">
        <v>-3.2808925368840738</v>
      </c>
      <c r="G37">
        <v>-3.1962694413024373</v>
      </c>
      <c r="H37">
        <v>-3.356359799501992</v>
      </c>
      <c r="I37">
        <v>-3.1077716883273792</v>
      </c>
      <c r="J37">
        <v>-2.0402319711770271</v>
      </c>
      <c r="K37">
        <v>-3.2845789396344802</v>
      </c>
      <c r="L37">
        <v>-1.6997862553342813</v>
      </c>
      <c r="M37">
        <v>-3.3792084538918257</v>
      </c>
      <c r="N37">
        <v>-3.245083767779624</v>
      </c>
      <c r="O37">
        <v>-0.86392298660823552</v>
      </c>
      <c r="P37">
        <v>-3.1917202263546365</v>
      </c>
      <c r="Q37">
        <v>-2.6855786894118201</v>
      </c>
      <c r="R37">
        <v>-3.1913117871725172</v>
      </c>
    </row>
    <row r="38" spans="2:18" x14ac:dyDescent="0.3">
      <c r="C38" t="str">
        <v>upr</v>
      </c>
      <c r="D38">
        <v>2.2032861033643192</v>
      </c>
      <c r="E38">
        <v>2.9482054270750382</v>
      </c>
      <c r="F38">
        <v>-0.37434371828735102</v>
      </c>
      <c r="G38">
        <v>2.9981375069526583</v>
      </c>
      <c r="H38">
        <v>2.8634068471808636</v>
      </c>
      <c r="I38">
        <v>3.0180512375785402</v>
      </c>
      <c r="J38">
        <v>2.8608007257092831</v>
      </c>
      <c r="K38">
        <v>1.9321760654581102</v>
      </c>
      <c r="L38">
        <v>2.8018065587771206</v>
      </c>
      <c r="M38">
        <v>2.8045787601993792</v>
      </c>
      <c r="N38">
        <v>1.7567125586655552</v>
      </c>
      <c r="O38">
        <v>2.7760589580557893</v>
      </c>
      <c r="P38">
        <v>-0.13312605333283201</v>
      </c>
      <c r="Q38">
        <v>2.9908589539631518</v>
      </c>
      <c r="R38">
        <v>-0.13178408659151253</v>
      </c>
    </row>
    <row r="40" spans="2:18" x14ac:dyDescent="0.3">
      <c r="B40" t="s">
        <v>21</v>
      </c>
      <c r="C40" t="str" cm="1">
        <f t="array" ref="C40:P43">TRANSPOSE(_xll.RScript.Evaluate(B40, "DataFrame"))</f>
        <v>Index</v>
      </c>
      <c r="D40" t="str">
        <v>1</v>
      </c>
      <c r="E40" t="str">
        <v>2</v>
      </c>
      <c r="F40" t="str">
        <v>3</v>
      </c>
      <c r="G40" t="str">
        <v>4</v>
      </c>
      <c r="H40" t="str">
        <v>5</v>
      </c>
      <c r="I40" t="str">
        <v>6</v>
      </c>
      <c r="J40" t="str">
        <v>7</v>
      </c>
      <c r="K40" t="str">
        <v>8</v>
      </c>
      <c r="L40" t="str">
        <v>9</v>
      </c>
      <c r="M40" t="str">
        <v>10</v>
      </c>
      <c r="N40" t="str">
        <v>11</v>
      </c>
      <c r="O40" t="str">
        <v>12</v>
      </c>
      <c r="P40" t="str">
        <v>13</v>
      </c>
    </row>
    <row r="41" spans="2:18" x14ac:dyDescent="0.3">
      <c r="C41" t="str">
        <v>fit</v>
      </c>
      <c r="D41">
        <v>-2.3717346511827562</v>
      </c>
      <c r="E41">
        <v>-2.0082830615751712</v>
      </c>
      <c r="F41">
        <v>-1.6448314719675858</v>
      </c>
      <c r="G41">
        <v>-1.2813798823600004</v>
      </c>
      <c r="H41">
        <v>-0.91792829275241505</v>
      </c>
      <c r="I41">
        <v>-0.55447670314482966</v>
      </c>
      <c r="J41">
        <v>-0.19102511353724438</v>
      </c>
      <c r="K41">
        <v>0.17242647607034095</v>
      </c>
      <c r="L41">
        <v>0.53587806567792629</v>
      </c>
      <c r="M41">
        <v>0.89932965528551156</v>
      </c>
      <c r="N41">
        <v>1.2627812448930968</v>
      </c>
      <c r="O41">
        <v>1.6262328345006822</v>
      </c>
      <c r="P41">
        <v>1.9896844241082676</v>
      </c>
    </row>
    <row r="42" spans="2:18" x14ac:dyDescent="0.3">
      <c r="C42" t="str">
        <v>lwr</v>
      </c>
      <c r="D42">
        <v>-5.5843909291607634</v>
      </c>
      <c r="E42">
        <v>-5.1879906252697197</v>
      </c>
      <c r="F42">
        <v>-4.7983751565659079</v>
      </c>
      <c r="G42">
        <v>-4.4157144370290506</v>
      </c>
      <c r="H42">
        <v>-4.0401368348558613</v>
      </c>
      <c r="I42">
        <v>-3.6717250105537627</v>
      </c>
      <c r="J42">
        <v>-3.3105131467844973</v>
      </c>
      <c r="K42">
        <v>-2.9564857820427881</v>
      </c>
      <c r="L42">
        <v>-2.6095783397165624</v>
      </c>
      <c r="M42">
        <v>-2.2696793108382289</v>
      </c>
      <c r="N42">
        <v>-1.93663392141104</v>
      </c>
      <c r="O42">
        <v>-1.6102490108446657</v>
      </c>
      <c r="P42">
        <v>-1.2902987792011578</v>
      </c>
    </row>
    <row r="43" spans="2:18" x14ac:dyDescent="0.3">
      <c r="C43" t="str">
        <v>upr</v>
      </c>
      <c r="D43">
        <v>0.84092162679525151</v>
      </c>
      <c r="E43">
        <v>1.1714245021193772</v>
      </c>
      <c r="F43">
        <v>1.5087122126307362</v>
      </c>
      <c r="G43">
        <v>1.8529546723090498</v>
      </c>
      <c r="H43">
        <v>2.2042802493510316</v>
      </c>
      <c r="I43">
        <v>2.5627716042641033</v>
      </c>
      <c r="J43">
        <v>2.9284629197100087</v>
      </c>
      <c r="K43">
        <v>3.3013387341834703</v>
      </c>
      <c r="L43">
        <v>3.6813344710724145</v>
      </c>
      <c r="M43">
        <v>4.0683386214092518</v>
      </c>
      <c r="N43">
        <v>4.4621964111972332</v>
      </c>
      <c r="O43">
        <v>4.8627146798460306</v>
      </c>
      <c r="P43">
        <v>5.269667627417693</v>
      </c>
    </row>
    <row r="45" spans="2:18" x14ac:dyDescent="0.3">
      <c r="B45" t="s">
        <v>22</v>
      </c>
      <c r="C45" cm="1">
        <f t="array" ref="C45:O47">TRANSPOSE(_xll.RScript.Evaluate(B45))</f>
        <v>0.49266116902112089</v>
      </c>
      <c r="D45">
        <v>0.39401981488196058</v>
      </c>
      <c r="E45">
        <v>0.29537846074280033</v>
      </c>
      <c r="F45">
        <v>0.19673710660364008</v>
      </c>
      <c r="G45">
        <v>9.809575246447981E-2</v>
      </c>
      <c r="H45">
        <v>-5.4560167468045706E-4</v>
      </c>
      <c r="I45">
        <v>-9.9186955813840724E-2</v>
      </c>
      <c r="J45">
        <v>-0.19782830995300099</v>
      </c>
      <c r="K45">
        <v>-0.29646966409216124</v>
      </c>
      <c r="L45">
        <v>-0.39511101823132155</v>
      </c>
      <c r="M45">
        <v>-0.49375237237048181</v>
      </c>
      <c r="N45">
        <v>-0.59239372650964206</v>
      </c>
      <c r="O45">
        <v>-0.69103508064880237</v>
      </c>
    </row>
    <row r="46" spans="2:18" x14ac:dyDescent="0.3">
      <c r="C46">
        <v>-4.9267634248881365</v>
      </c>
      <c r="D46">
        <v>-4.4244060641645868</v>
      </c>
      <c r="E46">
        <v>-4.2430892526574446</v>
      </c>
      <c r="F46">
        <v>-4.7248537930438941</v>
      </c>
      <c r="G46">
        <v>-6.6156983461381467</v>
      </c>
      <c r="H46">
        <v>-13.127545891525109</v>
      </c>
      <c r="I46" t="e">
        <v>#NUM!</v>
      </c>
      <c r="J46">
        <v>-13.43946651803113</v>
      </c>
      <c r="K46">
        <v>-7.4463453865249747</v>
      </c>
      <c r="L46">
        <v>-6.1649112275277815</v>
      </c>
      <c r="M46">
        <v>-6.2111882033336796</v>
      </c>
      <c r="N46">
        <v>-6.7836340765018965</v>
      </c>
      <c r="O46">
        <v>-7.5835845271509159</v>
      </c>
    </row>
    <row r="47" spans="2:18" x14ac:dyDescent="0.3">
      <c r="C47">
        <v>5.9120857629303778</v>
      </c>
      <c r="D47">
        <v>5.2124456939285073</v>
      </c>
      <c r="E47">
        <v>4.8338461741430461</v>
      </c>
      <c r="F47">
        <v>5.1183280062511747</v>
      </c>
      <c r="G47">
        <v>6.8118898510671064</v>
      </c>
      <c r="H47">
        <v>13.126454688175748</v>
      </c>
      <c r="I47" t="e">
        <v>#NUM!</v>
      </c>
      <c r="J47">
        <v>13.043809898125128</v>
      </c>
      <c r="K47">
        <v>6.8534060583406529</v>
      </c>
      <c r="L47">
        <v>5.3746891910651389</v>
      </c>
      <c r="M47">
        <v>5.2236834585927161</v>
      </c>
      <c r="N47">
        <v>5.5988466234826122</v>
      </c>
      <c r="O47">
        <v>6.2015143658533107</v>
      </c>
    </row>
    <row r="50" spans="2:15" x14ac:dyDescent="0.3">
      <c r="B50" t="s">
        <v>23</v>
      </c>
      <c r="C50" cm="1">
        <f t="array" ref="C50:O52">TRANSPOSE(_xll.RScript.Evaluate(B50))</f>
        <v>0.49266116902112089</v>
      </c>
      <c r="D50">
        <v>0.39401981488196058</v>
      </c>
      <c r="E50">
        <v>0.29537846074280033</v>
      </c>
      <c r="F50">
        <v>0.19673710660364008</v>
      </c>
      <c r="G50">
        <v>9.809575246447981E-2</v>
      </c>
      <c r="H50">
        <v>-5.4560167468045706E-4</v>
      </c>
      <c r="I50">
        <v>-9.9186955813840724E-2</v>
      </c>
      <c r="J50">
        <v>-0.19782830995300099</v>
      </c>
      <c r="K50">
        <v>-0.29646966409216124</v>
      </c>
      <c r="L50">
        <v>-0.39511101823132155</v>
      </c>
      <c r="M50">
        <v>-0.49375237237048181</v>
      </c>
      <c r="N50">
        <v>-0.59239372650964206</v>
      </c>
      <c r="O50">
        <v>-0.69103508064880237</v>
      </c>
    </row>
    <row r="51" spans="2:15" x14ac:dyDescent="0.3">
      <c r="C51">
        <v>-4.9267634248881365</v>
      </c>
      <c r="D51">
        <v>-4.4244060641645868</v>
      </c>
      <c r="E51">
        <v>-4.2430892526574446</v>
      </c>
      <c r="F51">
        <v>-4.7248537930438941</v>
      </c>
      <c r="G51">
        <v>-6.6156983461381467</v>
      </c>
      <c r="H51">
        <v>-13.127545891525109</v>
      </c>
      <c r="I51" t="e">
        <v>#NUM!</v>
      </c>
      <c r="J51">
        <v>-13.43946651803113</v>
      </c>
      <c r="K51">
        <v>-7.4463453865249747</v>
      </c>
      <c r="L51">
        <v>-6.1649112275277815</v>
      </c>
      <c r="M51">
        <v>-6.2111882033336796</v>
      </c>
      <c r="N51">
        <v>-6.7836340765018965</v>
      </c>
      <c r="O51">
        <v>-7.5835845271509159</v>
      </c>
    </row>
    <row r="52" spans="2:15" x14ac:dyDescent="0.3">
      <c r="C52">
        <v>5.9120857629303778</v>
      </c>
      <c r="D52">
        <v>5.2124456939285073</v>
      </c>
      <c r="E52">
        <v>4.8338461741430461</v>
      </c>
      <c r="F52">
        <v>5.1183280062511747</v>
      </c>
      <c r="G52">
        <v>6.8118898510671064</v>
      </c>
      <c r="H52">
        <v>13.126454688175748</v>
      </c>
      <c r="I52" t="e">
        <v>#NUM!</v>
      </c>
      <c r="J52">
        <v>13.043809898125128</v>
      </c>
      <c r="K52">
        <v>6.8534060583406529</v>
      </c>
      <c r="L52">
        <v>5.3746891910651389</v>
      </c>
      <c r="M52">
        <v>5.2236834585927161</v>
      </c>
      <c r="N52">
        <v>5.5988466234826122</v>
      </c>
      <c r="O52">
        <v>6.2015143658533107</v>
      </c>
    </row>
    <row r="54" spans="2:15" x14ac:dyDescent="0.3">
      <c r="B54" t="s">
        <v>24</v>
      </c>
    </row>
    <row r="55" spans="2:15" x14ac:dyDescent="0.3">
      <c r="B55" t="s">
        <v>25</v>
      </c>
      <c r="C55" t="str" cm="1">
        <f t="array" ref="C55">TRANSPOSE(_xll.RScript.Evaluate(B55))</f>
        <v>npk.aov</v>
      </c>
    </row>
    <row r="56" spans="2:15" x14ac:dyDescent="0.3">
      <c r="B56" t="s">
        <v>28</v>
      </c>
      <c r="C56" t="str" cm="1">
        <f t="array" ref="C56">TRANSPOSE(_xll.RScript.Evaluate(B56))</f>
        <v>termL</v>
      </c>
    </row>
    <row r="57" spans="2:15" x14ac:dyDescent="0.3">
      <c r="B57" t="s">
        <v>29</v>
      </c>
      <c r="C57" t="str" cm="1">
        <f t="array" ref="C57">TRANSPOSE(_xll.RScript.Evaluate(B57))</f>
        <v>pt</v>
      </c>
    </row>
    <row r="58" spans="2:15" x14ac:dyDescent="0.3">
      <c r="B58" t="s">
        <v>26</v>
      </c>
      <c r="C58" t="str" cm="1">
        <f t="array" ref="C58">TRANSPOSE(_xll.RScript.Evaluate(B58))</f>
        <v>pt.</v>
      </c>
    </row>
    <row r="59" spans="2:15" x14ac:dyDescent="0.3">
      <c r="B59" t="s">
        <v>27</v>
      </c>
      <c r="C59" t="str" cm="1">
        <f t="array" ref="C59">TRANSPOSE(_xll.RScript.Evaluate(B59))</f>
        <v>OK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Linear Model</vt:lpstr>
      <vt:lpstr>Summary Dashboard</vt:lpstr>
      <vt:lpstr>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Gladstone</dc:creator>
  <cp:lastModifiedBy>Adam Gladstone</cp:lastModifiedBy>
  <dcterms:created xsi:type="dcterms:W3CDTF">2023-09-20T10:43:20Z</dcterms:created>
  <dcterms:modified xsi:type="dcterms:W3CDTF">2026-09-23T10:37:11Z</dcterms:modified>
</cp:coreProperties>
</file>