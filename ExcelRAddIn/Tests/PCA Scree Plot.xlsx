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6F30968B-6434-4B3E-A024-CC3A9076B3E2}" xr6:coauthVersionLast="47" xr6:coauthVersionMax="47" xr10:uidLastSave="{00000000-0000-0000-0000-000000000000}"/>
  <bookViews>
    <workbookView xWindow="-108" yWindow="-108" windowWidth="23256" windowHeight="12456" activeTab="2" xr2:uid="{F2739E45-92FD-4566-89DF-9450CE0F6384}"/>
  </bookViews>
  <sheets>
    <sheet name="References" sheetId="1" r:id="rId1"/>
    <sheet name="Data" sheetId="2" r:id="rId2"/>
    <sheet name="P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 a="1"/>
  <c r="D23" i="3" a="1"/>
  <c r="D20" i="3" a="1"/>
  <c r="D17" i="3" a="1"/>
  <c r="H11" i="3"/>
  <c r="F10" i="3" a="1"/>
  <c r="D10" i="3" a="1"/>
  <c r="D9" i="3" a="1"/>
  <c r="B10" i="3" s="1"/>
  <c r="D6" i="3" a="1"/>
  <c r="D3" i="3" a="1"/>
  <c r="D2" i="2" a="1"/>
  <c r="H14" i="3" l="1"/>
  <c r="H13" i="3"/>
  <c r="H1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<sst xmlns="http://schemas.openxmlformats.org/spreadsheetml/2006/main" count="19" uniqueCount="18">
  <si>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Title</t>
  </si>
  <si>
    <t>Link</t>
  </si>
  <si>
    <t>Creating a Scree Plot in Base R</t>
  </si>
  <si>
    <t>Creating a Scree Plot in Base R | R-bloggers</t>
  </si>
  <si>
    <t>datasets::iris</t>
  </si>
  <si>
    <t>df &lt;- iris[, -5]</t>
  </si>
  <si>
    <t># Drop the non-numerical column</t>
  </si>
  <si>
    <t># Perform PCA on the iris dataset</t>
  </si>
  <si>
    <t>pca &lt;- prcomp(df, scale = TRUE)</t>
  </si>
  <si>
    <t># Extract the eigenvalues from the PCA object</t>
  </si>
  <si>
    <t>eigenvalues &lt;- pca$sdev^2</t>
  </si>
  <si>
    <t># Create a scree plot</t>
  </si>
  <si>
    <t>plot(eigenvalues, type = "b",
     xlab = "Principal Component",
     ylab = "Eigenvalue")</t>
  </si>
  <si>
    <t># Add a line at y = 1 to indicate the elbow</t>
  </si>
  <si>
    <t>abline(v = 2, col = "red")</t>
  </si>
  <si>
    <t># Percentage of variance explained</t>
  </si>
  <si>
    <t>plot(eigenvalues/sum(eigenvalues), type = "b",
     xlab = "Principal Component",
     ylab = "Percentage of Variance Explained")</t>
  </si>
  <si>
    <t>pct. 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</si>
</sst>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E0D40-562F-472D-B3E5-3E44C9E41AA5}" name="Table1" displayName="Table1" ref="B2:C3" totalsRowShown="0">
  <autoFilter ref="B2:C3" xr:uid="{816E0D40-562F-472D-B3E5-3E44C9E41AA5}"/>
  <tableColumns count="2">
    <tableColumn id="1" xr3:uid="{0E8912CE-F9FB-43F7-9728-FB0A57656777}" name="Title"/>
    <tableColumn id="2" xr3:uid="{1DAEFBD8-291A-498C-AFCA-8152CDE70E37}" name="Link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-bloggers.com/2023/10/creating-a-scree-plot-in-base-r/?utm_source=phpList&amp;utm_medium=email&amp;utm_campaign=R-bloggers-daily&amp;utm_content=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F496-1360-469F-B9DD-16514B8C4F1F}">
  <dimension ref="B2:C3"/>
  <sheetViews>
    <sheetView workbookViewId="0">
      <selection activeCell="B4" sqref="B4"/>
    </sheetView>
  </sheetViews>
  <sheetFormatPr defaultRowHeight="14.4" x14ac:dyDescent="0.3"/>
  <cols>
    <col min="2" max="2" width="26" bestFit="1" customWidth="1"/>
    <col min="3" max="3" width="36.5546875" bestFit="1" customWidth="1"/>
  </cols>
  <sheetData>
    <row r="2" spans="2:3" x14ac:dyDescent="0.3">
      <c r="B2" t="s">
        <v>0</v>
      </c>
      <c r="C2" t="s">
        <v>1</v>
      </c>
    </row>
    <row r="3" spans="2:3" x14ac:dyDescent="0.3">
      <c r="B3" t="s">
        <v>2</v>
      </c>
      <c r="C3" s="1" t="s">
        <v>3</v>
      </c>
    </row>
  </sheetData>
  <hyperlinks>
    <hyperlink ref="C3" r:id="rId1" display="https://www.r-bloggers.com/2023/10/creating-a-scree-plot-in-base-r/?utm_source=phpList&amp;utm_medium=email&amp;utm_campaign=R-bloggers-daily&amp;utm_content=HTML" xr:uid="{3CF3D637-38BD-453E-A95A-1843CE77DBC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8628-E697-49B2-B550-5A328C7EB159}">
  <dimension ref="B2:I152"/>
  <sheetViews>
    <sheetView workbookViewId="0">
      <selection activeCell="D2" sqref="D2"/>
    </sheetView>
  </sheetViews>
  <sheetFormatPr defaultRowHeight="14.4" x14ac:dyDescent="0.3"/>
  <cols>
    <col min="2" max="2" width="11.33203125" bestFit="1" customWidth="1"/>
    <col min="4" max="4" width="5.44140625" bestFit="1" customWidth="1"/>
    <col min="5" max="5" width="11.33203125" bestFit="1" customWidth="1"/>
    <col min="6" max="6" width="10.77734375" bestFit="1" customWidth="1"/>
    <col min="7" max="7" width="11.109375" bestFit="1" customWidth="1"/>
    <col min="8" max="8" width="10.5546875" bestFit="1" customWidth="1"/>
    <col min="9" max="9" width="9" bestFit="1" customWidth="1"/>
  </cols>
  <sheetData>
    <row r="2" spans="2:9" x14ac:dyDescent="0.3">
      <c r="B2" t="s">
        <v>4</v>
      </c>
      <c r="D2" t="str" cm="1">
        <f t="array" ref="D2:I152">_xll.RScript.Evaluate(B2)</f>
        <v>Index</v>
      </c>
      <c r="E2" t="str">
        <v>Sepal.Length</v>
      </c>
      <c r="F2" t="str">
        <v>Sepal.Width</v>
      </c>
      <c r="G2" t="str">
        <v>Petal.Length</v>
      </c>
      <c r="H2" t="str">
        <v>Petal.Width</v>
      </c>
      <c r="I2" t="str">
        <v>Species</v>
      </c>
    </row>
    <row r="3" spans="2:9" x14ac:dyDescent="0.3">
      <c r="D3" t="str">
        <v>1</v>
      </c>
      <c r="E3">
        <v>5.0999999999999996</v>
      </c>
      <c r="F3">
        <v>3.5</v>
      </c>
      <c r="G3">
        <v>1.4</v>
      </c>
      <c r="H3">
        <v>0.2</v>
      </c>
      <c r="I3" t="str">
        <v>setosa</v>
      </c>
    </row>
    <row r="4" spans="2:9" x14ac:dyDescent="0.3">
      <c r="D4" t="str">
        <v>2</v>
      </c>
      <c r="E4">
        <v>4.9000000000000004</v>
      </c>
      <c r="F4">
        <v>3</v>
      </c>
      <c r="G4">
        <v>1.4</v>
      </c>
      <c r="H4">
        <v>0.2</v>
      </c>
      <c r="I4" t="str">
        <v>setosa</v>
      </c>
    </row>
    <row r="5" spans="2:9" x14ac:dyDescent="0.3">
      <c r="D5" t="str">
        <v>3</v>
      </c>
      <c r="E5">
        <v>4.7</v>
      </c>
      <c r="F5">
        <v>3.2</v>
      </c>
      <c r="G5">
        <v>1.3</v>
      </c>
      <c r="H5">
        <v>0.2</v>
      </c>
      <c r="I5" t="str">
        <v>setosa</v>
      </c>
    </row>
    <row r="6" spans="2:9" x14ac:dyDescent="0.3">
      <c r="D6" t="str">
        <v>4</v>
      </c>
      <c r="E6">
        <v>4.5999999999999996</v>
      </c>
      <c r="F6">
        <v>3.1</v>
      </c>
      <c r="G6">
        <v>1.5</v>
      </c>
      <c r="H6">
        <v>0.2</v>
      </c>
      <c r="I6" t="str">
        <v>setosa</v>
      </c>
    </row>
    <row r="7" spans="2:9" x14ac:dyDescent="0.3">
      <c r="D7" t="str">
        <v>5</v>
      </c>
      <c r="E7">
        <v>5</v>
      </c>
      <c r="F7">
        <v>3.6</v>
      </c>
      <c r="G7">
        <v>1.4</v>
      </c>
      <c r="H7">
        <v>0.2</v>
      </c>
      <c r="I7" t="str">
        <v>setosa</v>
      </c>
    </row>
    <row r="8" spans="2:9" x14ac:dyDescent="0.3">
      <c r="D8" t="str">
        <v>6</v>
      </c>
      <c r="E8">
        <v>5.4</v>
      </c>
      <c r="F8">
        <v>3.9</v>
      </c>
      <c r="G8">
        <v>1.7</v>
      </c>
      <c r="H8">
        <v>0.4</v>
      </c>
      <c r="I8" t="str">
        <v>setosa</v>
      </c>
    </row>
    <row r="9" spans="2:9" x14ac:dyDescent="0.3">
      <c r="D9" t="str">
        <v>7</v>
      </c>
      <c r="E9">
        <v>4.5999999999999996</v>
      </c>
      <c r="F9">
        <v>3.4</v>
      </c>
      <c r="G9">
        <v>1.4</v>
      </c>
      <c r="H9">
        <v>0.3</v>
      </c>
      <c r="I9" t="str">
        <v>setosa</v>
      </c>
    </row>
    <row r="10" spans="2:9" x14ac:dyDescent="0.3">
      <c r="D10" t="str">
        <v>8</v>
      </c>
      <c r="E10">
        <v>5</v>
      </c>
      <c r="F10">
        <v>3.4</v>
      </c>
      <c r="G10">
        <v>1.5</v>
      </c>
      <c r="H10">
        <v>0.2</v>
      </c>
      <c r="I10" t="str">
        <v>setosa</v>
      </c>
    </row>
    <row r="11" spans="2:9" x14ac:dyDescent="0.3">
      <c r="D11" t="str">
        <v>9</v>
      </c>
      <c r="E11">
        <v>4.4000000000000004</v>
      </c>
      <c r="F11">
        <v>2.9</v>
      </c>
      <c r="G11">
        <v>1.4</v>
      </c>
      <c r="H11">
        <v>0.2</v>
      </c>
      <c r="I11" t="str">
        <v>setosa</v>
      </c>
    </row>
    <row r="12" spans="2:9" x14ac:dyDescent="0.3">
      <c r="D12" t="str">
        <v>10</v>
      </c>
      <c r="E12">
        <v>4.9000000000000004</v>
      </c>
      <c r="F12">
        <v>3.1</v>
      </c>
      <c r="G12">
        <v>1.5</v>
      </c>
      <c r="H12">
        <v>0.1</v>
      </c>
      <c r="I12" t="str">
        <v>setosa</v>
      </c>
    </row>
    <row r="13" spans="2:9" x14ac:dyDescent="0.3">
      <c r="D13" t="str">
        <v>11</v>
      </c>
      <c r="E13">
        <v>5.4</v>
      </c>
      <c r="F13">
        <v>3.7</v>
      </c>
      <c r="G13">
        <v>1.5</v>
      </c>
      <c r="H13">
        <v>0.2</v>
      </c>
      <c r="I13" t="str">
        <v>setosa</v>
      </c>
    </row>
    <row r="14" spans="2:9" x14ac:dyDescent="0.3">
      <c r="D14" t="str">
        <v>12</v>
      </c>
      <c r="E14">
        <v>4.8</v>
      </c>
      <c r="F14">
        <v>3.4</v>
      </c>
      <c r="G14">
        <v>1.6</v>
      </c>
      <c r="H14">
        <v>0.2</v>
      </c>
      <c r="I14" t="str">
        <v>setosa</v>
      </c>
    </row>
    <row r="15" spans="2:9" x14ac:dyDescent="0.3">
      <c r="D15" t="str">
        <v>13</v>
      </c>
      <c r="E15">
        <v>4.8</v>
      </c>
      <c r="F15">
        <v>3</v>
      </c>
      <c r="G15">
        <v>1.4</v>
      </c>
      <c r="H15">
        <v>0.1</v>
      </c>
      <c r="I15" t="str">
        <v>setosa</v>
      </c>
    </row>
    <row r="16" spans="2:9" x14ac:dyDescent="0.3">
      <c r="D16" t="str">
        <v>14</v>
      </c>
      <c r="E16">
        <v>4.3</v>
      </c>
      <c r="F16">
        <v>3</v>
      </c>
      <c r="G16">
        <v>1.1000000000000001</v>
      </c>
      <c r="H16">
        <v>0.1</v>
      </c>
      <c r="I16" t="str">
        <v>setosa</v>
      </c>
    </row>
    <row r="17" spans="4:9" x14ac:dyDescent="0.3">
      <c r="D17" t="str">
        <v>15</v>
      </c>
      <c r="E17">
        <v>5.8</v>
      </c>
      <c r="F17">
        <v>4</v>
      </c>
      <c r="G17">
        <v>1.2</v>
      </c>
      <c r="H17">
        <v>0.2</v>
      </c>
      <c r="I17" t="str">
        <v>setosa</v>
      </c>
    </row>
    <row r="18" spans="4:9" x14ac:dyDescent="0.3">
      <c r="D18" t="str">
        <v>16</v>
      </c>
      <c r="E18">
        <v>5.7</v>
      </c>
      <c r="F18">
        <v>4.4000000000000004</v>
      </c>
      <c r="G18">
        <v>1.5</v>
      </c>
      <c r="H18">
        <v>0.4</v>
      </c>
      <c r="I18" t="str">
        <v>setosa</v>
      </c>
    </row>
    <row r="19" spans="4:9" x14ac:dyDescent="0.3">
      <c r="D19" t="str">
        <v>17</v>
      </c>
      <c r="E19">
        <v>5.4</v>
      </c>
      <c r="F19">
        <v>3.9</v>
      </c>
      <c r="G19">
        <v>1.3</v>
      </c>
      <c r="H19">
        <v>0.4</v>
      </c>
      <c r="I19" t="str">
        <v>setosa</v>
      </c>
    </row>
    <row r="20" spans="4:9" x14ac:dyDescent="0.3">
      <c r="D20" t="str">
        <v>18</v>
      </c>
      <c r="E20">
        <v>5.0999999999999996</v>
      </c>
      <c r="F20">
        <v>3.5</v>
      </c>
      <c r="G20">
        <v>1.4</v>
      </c>
      <c r="H20">
        <v>0.3</v>
      </c>
      <c r="I20" t="str">
        <v>setosa</v>
      </c>
    </row>
    <row r="21" spans="4:9" x14ac:dyDescent="0.3">
      <c r="D21" t="str">
        <v>19</v>
      </c>
      <c r="E21">
        <v>5.7</v>
      </c>
      <c r="F21">
        <v>3.8</v>
      </c>
      <c r="G21">
        <v>1.7</v>
      </c>
      <c r="H21">
        <v>0.3</v>
      </c>
      <c r="I21" t="str">
        <v>setosa</v>
      </c>
    </row>
    <row r="22" spans="4:9" x14ac:dyDescent="0.3">
      <c r="D22" t="str">
        <v>20</v>
      </c>
      <c r="E22">
        <v>5.0999999999999996</v>
      </c>
      <c r="F22">
        <v>3.8</v>
      </c>
      <c r="G22">
        <v>1.5</v>
      </c>
      <c r="H22">
        <v>0.3</v>
      </c>
      <c r="I22" t="str">
        <v>setosa</v>
      </c>
    </row>
    <row r="23" spans="4:9" x14ac:dyDescent="0.3">
      <c r="D23" t="str">
        <v>21</v>
      </c>
      <c r="E23">
        <v>5.4</v>
      </c>
      <c r="F23">
        <v>3.4</v>
      </c>
      <c r="G23">
        <v>1.7</v>
      </c>
      <c r="H23">
        <v>0.2</v>
      </c>
      <c r="I23" t="str">
        <v>setosa</v>
      </c>
    </row>
    <row r="24" spans="4:9" x14ac:dyDescent="0.3">
      <c r="D24" t="str">
        <v>22</v>
      </c>
      <c r="E24">
        <v>5.0999999999999996</v>
      </c>
      <c r="F24">
        <v>3.7</v>
      </c>
      <c r="G24">
        <v>1.5</v>
      </c>
      <c r="H24">
        <v>0.4</v>
      </c>
      <c r="I24" t="str">
        <v>setosa</v>
      </c>
    </row>
    <row r="25" spans="4:9" x14ac:dyDescent="0.3">
      <c r="D25" t="str">
        <v>23</v>
      </c>
      <c r="E25">
        <v>4.5999999999999996</v>
      </c>
      <c r="F25">
        <v>3.6</v>
      </c>
      <c r="G25">
        <v>1</v>
      </c>
      <c r="H25">
        <v>0.2</v>
      </c>
      <c r="I25" t="str">
        <v>setosa</v>
      </c>
    </row>
    <row r="26" spans="4:9" x14ac:dyDescent="0.3">
      <c r="D26" t="str">
        <v>24</v>
      </c>
      <c r="E26">
        <v>5.0999999999999996</v>
      </c>
      <c r="F26">
        <v>3.3</v>
      </c>
      <c r="G26">
        <v>1.7</v>
      </c>
      <c r="H26">
        <v>0.5</v>
      </c>
      <c r="I26" t="str">
        <v>setosa</v>
      </c>
    </row>
    <row r="27" spans="4:9" x14ac:dyDescent="0.3">
      <c r="D27" t="str">
        <v>25</v>
      </c>
      <c r="E27">
        <v>4.8</v>
      </c>
      <c r="F27">
        <v>3.4</v>
      </c>
      <c r="G27">
        <v>1.9</v>
      </c>
      <c r="H27">
        <v>0.2</v>
      </c>
      <c r="I27" t="str">
        <v>setosa</v>
      </c>
    </row>
    <row r="28" spans="4:9" x14ac:dyDescent="0.3">
      <c r="D28" t="str">
        <v>26</v>
      </c>
      <c r="E28">
        <v>5</v>
      </c>
      <c r="F28">
        <v>3</v>
      </c>
      <c r="G28">
        <v>1.6</v>
      </c>
      <c r="H28">
        <v>0.2</v>
      </c>
      <c r="I28" t="str">
        <v>setosa</v>
      </c>
    </row>
    <row r="29" spans="4:9" x14ac:dyDescent="0.3">
      <c r="D29" t="str">
        <v>27</v>
      </c>
      <c r="E29">
        <v>5</v>
      </c>
      <c r="F29">
        <v>3.4</v>
      </c>
      <c r="G29">
        <v>1.6</v>
      </c>
      <c r="H29">
        <v>0.4</v>
      </c>
      <c r="I29" t="str">
        <v>setosa</v>
      </c>
    </row>
    <row r="30" spans="4:9" x14ac:dyDescent="0.3">
      <c r="D30" t="str">
        <v>28</v>
      </c>
      <c r="E30">
        <v>5.2</v>
      </c>
      <c r="F30">
        <v>3.5</v>
      </c>
      <c r="G30">
        <v>1.5</v>
      </c>
      <c r="H30">
        <v>0.2</v>
      </c>
      <c r="I30" t="str">
        <v>setosa</v>
      </c>
    </row>
    <row r="31" spans="4:9" x14ac:dyDescent="0.3">
      <c r="D31" t="str">
        <v>29</v>
      </c>
      <c r="E31">
        <v>5.2</v>
      </c>
      <c r="F31">
        <v>3.4</v>
      </c>
      <c r="G31">
        <v>1.4</v>
      </c>
      <c r="H31">
        <v>0.2</v>
      </c>
      <c r="I31" t="str">
        <v>setosa</v>
      </c>
    </row>
    <row r="32" spans="4:9" x14ac:dyDescent="0.3">
      <c r="D32" t="str">
        <v>30</v>
      </c>
      <c r="E32">
        <v>4.7</v>
      </c>
      <c r="F32">
        <v>3.2</v>
      </c>
      <c r="G32">
        <v>1.6</v>
      </c>
      <c r="H32">
        <v>0.2</v>
      </c>
      <c r="I32" t="str">
        <v>setosa</v>
      </c>
    </row>
    <row r="33" spans="4:9" x14ac:dyDescent="0.3">
      <c r="D33" t="str">
        <v>31</v>
      </c>
      <c r="E33">
        <v>4.8</v>
      </c>
      <c r="F33">
        <v>3.1</v>
      </c>
      <c r="G33">
        <v>1.6</v>
      </c>
      <c r="H33">
        <v>0.2</v>
      </c>
      <c r="I33" t="str">
        <v>setosa</v>
      </c>
    </row>
    <row r="34" spans="4:9" x14ac:dyDescent="0.3">
      <c r="D34" t="str">
        <v>32</v>
      </c>
      <c r="E34">
        <v>5.4</v>
      </c>
      <c r="F34">
        <v>3.4</v>
      </c>
      <c r="G34">
        <v>1.5</v>
      </c>
      <c r="H34">
        <v>0.4</v>
      </c>
      <c r="I34" t="str">
        <v>setosa</v>
      </c>
    </row>
    <row r="35" spans="4:9" x14ac:dyDescent="0.3">
      <c r="D35" t="str">
        <v>33</v>
      </c>
      <c r="E35">
        <v>5.2</v>
      </c>
      <c r="F35">
        <v>4.0999999999999996</v>
      </c>
      <c r="G35">
        <v>1.5</v>
      </c>
      <c r="H35">
        <v>0.1</v>
      </c>
      <c r="I35" t="str">
        <v>setosa</v>
      </c>
    </row>
    <row r="36" spans="4:9" x14ac:dyDescent="0.3">
      <c r="D36" t="str">
        <v>34</v>
      </c>
      <c r="E36">
        <v>5.5</v>
      </c>
      <c r="F36">
        <v>4.2</v>
      </c>
      <c r="G36">
        <v>1.4</v>
      </c>
      <c r="H36">
        <v>0.2</v>
      </c>
      <c r="I36" t="str">
        <v>setosa</v>
      </c>
    </row>
    <row r="37" spans="4:9" x14ac:dyDescent="0.3">
      <c r="D37" t="str">
        <v>35</v>
      </c>
      <c r="E37">
        <v>4.9000000000000004</v>
      </c>
      <c r="F37">
        <v>3.1</v>
      </c>
      <c r="G37">
        <v>1.5</v>
      </c>
      <c r="H37">
        <v>0.2</v>
      </c>
      <c r="I37" t="str">
        <v>setosa</v>
      </c>
    </row>
    <row r="38" spans="4:9" x14ac:dyDescent="0.3">
      <c r="D38" t="str">
        <v>36</v>
      </c>
      <c r="E38">
        <v>5</v>
      </c>
      <c r="F38">
        <v>3.2</v>
      </c>
      <c r="G38">
        <v>1.2</v>
      </c>
      <c r="H38">
        <v>0.2</v>
      </c>
      <c r="I38" t="str">
        <v>setosa</v>
      </c>
    </row>
    <row r="39" spans="4:9" x14ac:dyDescent="0.3">
      <c r="D39" t="str">
        <v>37</v>
      </c>
      <c r="E39">
        <v>5.5</v>
      </c>
      <c r="F39">
        <v>3.5</v>
      </c>
      <c r="G39">
        <v>1.3</v>
      </c>
      <c r="H39">
        <v>0.2</v>
      </c>
      <c r="I39" t="str">
        <v>setosa</v>
      </c>
    </row>
    <row r="40" spans="4:9" x14ac:dyDescent="0.3">
      <c r="D40" t="str">
        <v>38</v>
      </c>
      <c r="E40">
        <v>4.9000000000000004</v>
      </c>
      <c r="F40">
        <v>3.6</v>
      </c>
      <c r="G40">
        <v>1.4</v>
      </c>
      <c r="H40">
        <v>0.1</v>
      </c>
      <c r="I40" t="str">
        <v>setosa</v>
      </c>
    </row>
    <row r="41" spans="4:9" x14ac:dyDescent="0.3">
      <c r="D41" t="str">
        <v>39</v>
      </c>
      <c r="E41">
        <v>4.4000000000000004</v>
      </c>
      <c r="F41">
        <v>3</v>
      </c>
      <c r="G41">
        <v>1.3</v>
      </c>
      <c r="H41">
        <v>0.2</v>
      </c>
      <c r="I41" t="str">
        <v>setosa</v>
      </c>
    </row>
    <row r="42" spans="4:9" x14ac:dyDescent="0.3">
      <c r="D42" t="str">
        <v>40</v>
      </c>
      <c r="E42">
        <v>5.0999999999999996</v>
      </c>
      <c r="F42">
        <v>3.4</v>
      </c>
      <c r="G42">
        <v>1.5</v>
      </c>
      <c r="H42">
        <v>0.2</v>
      </c>
      <c r="I42" t="str">
        <v>setosa</v>
      </c>
    </row>
    <row r="43" spans="4:9" x14ac:dyDescent="0.3">
      <c r="D43" t="str">
        <v>41</v>
      </c>
      <c r="E43">
        <v>5</v>
      </c>
      <c r="F43">
        <v>3.5</v>
      </c>
      <c r="G43">
        <v>1.3</v>
      </c>
      <c r="H43">
        <v>0.3</v>
      </c>
      <c r="I43" t="str">
        <v>setosa</v>
      </c>
    </row>
    <row r="44" spans="4:9" x14ac:dyDescent="0.3">
      <c r="D44" t="str">
        <v>42</v>
      </c>
      <c r="E44">
        <v>4.5</v>
      </c>
      <c r="F44">
        <v>2.2999999999999998</v>
      </c>
      <c r="G44">
        <v>1.3</v>
      </c>
      <c r="H44">
        <v>0.3</v>
      </c>
      <c r="I44" t="str">
        <v>setosa</v>
      </c>
    </row>
    <row r="45" spans="4:9" x14ac:dyDescent="0.3">
      <c r="D45" t="str">
        <v>43</v>
      </c>
      <c r="E45">
        <v>4.4000000000000004</v>
      </c>
      <c r="F45">
        <v>3.2</v>
      </c>
      <c r="G45">
        <v>1.3</v>
      </c>
      <c r="H45">
        <v>0.2</v>
      </c>
      <c r="I45" t="str">
        <v>setosa</v>
      </c>
    </row>
    <row r="46" spans="4:9" x14ac:dyDescent="0.3">
      <c r="D46" t="str">
        <v>44</v>
      </c>
      <c r="E46">
        <v>5</v>
      </c>
      <c r="F46">
        <v>3.5</v>
      </c>
      <c r="G46">
        <v>1.6</v>
      </c>
      <c r="H46">
        <v>0.6</v>
      </c>
      <c r="I46" t="str">
        <v>setosa</v>
      </c>
    </row>
    <row r="47" spans="4:9" x14ac:dyDescent="0.3">
      <c r="D47" t="str">
        <v>45</v>
      </c>
      <c r="E47">
        <v>5.0999999999999996</v>
      </c>
      <c r="F47">
        <v>3.8</v>
      </c>
      <c r="G47">
        <v>1.9</v>
      </c>
      <c r="H47">
        <v>0.4</v>
      </c>
      <c r="I47" t="str">
        <v>setosa</v>
      </c>
    </row>
    <row r="48" spans="4:9" x14ac:dyDescent="0.3">
      <c r="D48" t="str">
        <v>46</v>
      </c>
      <c r="E48">
        <v>4.8</v>
      </c>
      <c r="F48">
        <v>3</v>
      </c>
      <c r="G48">
        <v>1.4</v>
      </c>
      <c r="H48">
        <v>0.3</v>
      </c>
      <c r="I48" t="str">
        <v>setosa</v>
      </c>
    </row>
    <row r="49" spans="4:9" x14ac:dyDescent="0.3">
      <c r="D49" t="str">
        <v>47</v>
      </c>
      <c r="E49">
        <v>5.0999999999999996</v>
      </c>
      <c r="F49">
        <v>3.8</v>
      </c>
      <c r="G49">
        <v>1.6</v>
      </c>
      <c r="H49">
        <v>0.2</v>
      </c>
      <c r="I49" t="str">
        <v>setosa</v>
      </c>
    </row>
    <row r="50" spans="4:9" x14ac:dyDescent="0.3">
      <c r="D50" t="str">
        <v>48</v>
      </c>
      <c r="E50">
        <v>4.5999999999999996</v>
      </c>
      <c r="F50">
        <v>3.2</v>
      </c>
      <c r="G50">
        <v>1.4</v>
      </c>
      <c r="H50">
        <v>0.2</v>
      </c>
      <c r="I50" t="str">
        <v>setosa</v>
      </c>
    </row>
    <row r="51" spans="4:9" x14ac:dyDescent="0.3">
      <c r="D51" t="str">
        <v>49</v>
      </c>
      <c r="E51">
        <v>5.3</v>
      </c>
      <c r="F51">
        <v>3.7</v>
      </c>
      <c r="G51">
        <v>1.5</v>
      </c>
      <c r="H51">
        <v>0.2</v>
      </c>
      <c r="I51" t="str">
        <v>setosa</v>
      </c>
    </row>
    <row r="52" spans="4:9" x14ac:dyDescent="0.3">
      <c r="D52" t="str">
        <v>50</v>
      </c>
      <c r="E52">
        <v>5</v>
      </c>
      <c r="F52">
        <v>3.3</v>
      </c>
      <c r="G52">
        <v>1.4</v>
      </c>
      <c r="H52">
        <v>0.2</v>
      </c>
      <c r="I52" t="str">
        <v>setosa</v>
      </c>
    </row>
    <row r="53" spans="4:9" x14ac:dyDescent="0.3">
      <c r="D53" t="str">
        <v>51</v>
      </c>
      <c r="E53">
        <v>7</v>
      </c>
      <c r="F53">
        <v>3.2</v>
      </c>
      <c r="G53">
        <v>4.7</v>
      </c>
      <c r="H53">
        <v>1.4</v>
      </c>
      <c r="I53" t="str">
        <v>versicolor</v>
      </c>
    </row>
    <row r="54" spans="4:9" x14ac:dyDescent="0.3">
      <c r="D54" t="str">
        <v>52</v>
      </c>
      <c r="E54">
        <v>6.4</v>
      </c>
      <c r="F54">
        <v>3.2</v>
      </c>
      <c r="G54">
        <v>4.5</v>
      </c>
      <c r="H54">
        <v>1.5</v>
      </c>
      <c r="I54" t="str">
        <v>versicolor</v>
      </c>
    </row>
    <row r="55" spans="4:9" x14ac:dyDescent="0.3">
      <c r="D55" t="str">
        <v>53</v>
      </c>
      <c r="E55">
        <v>6.9</v>
      </c>
      <c r="F55">
        <v>3.1</v>
      </c>
      <c r="G55">
        <v>4.9000000000000004</v>
      </c>
      <c r="H55">
        <v>1.5</v>
      </c>
      <c r="I55" t="str">
        <v>versicolor</v>
      </c>
    </row>
    <row r="56" spans="4:9" x14ac:dyDescent="0.3">
      <c r="D56" t="str">
        <v>54</v>
      </c>
      <c r="E56">
        <v>5.5</v>
      </c>
      <c r="F56">
        <v>2.2999999999999998</v>
      </c>
      <c r="G56">
        <v>4</v>
      </c>
      <c r="H56">
        <v>1.3</v>
      </c>
      <c r="I56" t="str">
        <v>versicolor</v>
      </c>
    </row>
    <row r="57" spans="4:9" x14ac:dyDescent="0.3">
      <c r="D57" t="str">
        <v>55</v>
      </c>
      <c r="E57">
        <v>6.5</v>
      </c>
      <c r="F57">
        <v>2.8</v>
      </c>
      <c r="G57">
        <v>4.5999999999999996</v>
      </c>
      <c r="H57">
        <v>1.5</v>
      </c>
      <c r="I57" t="str">
        <v>versicolor</v>
      </c>
    </row>
    <row r="58" spans="4:9" x14ac:dyDescent="0.3">
      <c r="D58" t="str">
        <v>56</v>
      </c>
      <c r="E58">
        <v>5.7</v>
      </c>
      <c r="F58">
        <v>2.8</v>
      </c>
      <c r="G58">
        <v>4.5</v>
      </c>
      <c r="H58">
        <v>1.3</v>
      </c>
      <c r="I58" t="str">
        <v>versicolor</v>
      </c>
    </row>
    <row r="59" spans="4:9" x14ac:dyDescent="0.3">
      <c r="D59" t="str">
        <v>57</v>
      </c>
      <c r="E59">
        <v>6.3</v>
      </c>
      <c r="F59">
        <v>3.3</v>
      </c>
      <c r="G59">
        <v>4.7</v>
      </c>
      <c r="H59">
        <v>1.6</v>
      </c>
      <c r="I59" t="str">
        <v>versicolor</v>
      </c>
    </row>
    <row r="60" spans="4:9" x14ac:dyDescent="0.3">
      <c r="D60" t="str">
        <v>58</v>
      </c>
      <c r="E60">
        <v>4.9000000000000004</v>
      </c>
      <c r="F60">
        <v>2.4</v>
      </c>
      <c r="G60">
        <v>3.3</v>
      </c>
      <c r="H60">
        <v>1</v>
      </c>
      <c r="I60" t="str">
        <v>versicolor</v>
      </c>
    </row>
    <row r="61" spans="4:9" x14ac:dyDescent="0.3">
      <c r="D61" t="str">
        <v>59</v>
      </c>
      <c r="E61">
        <v>6.6</v>
      </c>
      <c r="F61">
        <v>2.9</v>
      </c>
      <c r="G61">
        <v>4.5999999999999996</v>
      </c>
      <c r="H61">
        <v>1.3</v>
      </c>
      <c r="I61" t="str">
        <v>versicolor</v>
      </c>
    </row>
    <row r="62" spans="4:9" x14ac:dyDescent="0.3">
      <c r="D62" t="str">
        <v>60</v>
      </c>
      <c r="E62">
        <v>5.2</v>
      </c>
      <c r="F62">
        <v>2.7</v>
      </c>
      <c r="G62">
        <v>3.9</v>
      </c>
      <c r="H62">
        <v>1.4</v>
      </c>
      <c r="I62" t="str">
        <v>versicolor</v>
      </c>
    </row>
    <row r="63" spans="4:9" x14ac:dyDescent="0.3">
      <c r="D63" t="str">
        <v>61</v>
      </c>
      <c r="E63">
        <v>5</v>
      </c>
      <c r="F63">
        <v>2</v>
      </c>
      <c r="G63">
        <v>3.5</v>
      </c>
      <c r="H63">
        <v>1</v>
      </c>
      <c r="I63" t="str">
        <v>versicolor</v>
      </c>
    </row>
    <row r="64" spans="4:9" x14ac:dyDescent="0.3">
      <c r="D64" t="str">
        <v>62</v>
      </c>
      <c r="E64">
        <v>5.9</v>
      </c>
      <c r="F64">
        <v>3</v>
      </c>
      <c r="G64">
        <v>4.2</v>
      </c>
      <c r="H64">
        <v>1.5</v>
      </c>
      <c r="I64" t="str">
        <v>versicolor</v>
      </c>
    </row>
    <row r="65" spans="4:9" x14ac:dyDescent="0.3">
      <c r="D65" t="str">
        <v>63</v>
      </c>
      <c r="E65">
        <v>6</v>
      </c>
      <c r="F65">
        <v>2.2000000000000002</v>
      </c>
      <c r="G65">
        <v>4</v>
      </c>
      <c r="H65">
        <v>1</v>
      </c>
      <c r="I65" t="str">
        <v>versicolor</v>
      </c>
    </row>
    <row r="66" spans="4:9" x14ac:dyDescent="0.3">
      <c r="D66" t="str">
        <v>64</v>
      </c>
      <c r="E66">
        <v>6.1</v>
      </c>
      <c r="F66">
        <v>2.9</v>
      </c>
      <c r="G66">
        <v>4.7</v>
      </c>
      <c r="H66">
        <v>1.4</v>
      </c>
      <c r="I66" t="str">
        <v>versicolor</v>
      </c>
    </row>
    <row r="67" spans="4:9" x14ac:dyDescent="0.3">
      <c r="D67" t="str">
        <v>65</v>
      </c>
      <c r="E67">
        <v>5.6</v>
      </c>
      <c r="F67">
        <v>2.9</v>
      </c>
      <c r="G67">
        <v>3.6</v>
      </c>
      <c r="H67">
        <v>1.3</v>
      </c>
      <c r="I67" t="str">
        <v>versicolor</v>
      </c>
    </row>
    <row r="68" spans="4:9" x14ac:dyDescent="0.3">
      <c r="D68" t="str">
        <v>66</v>
      </c>
      <c r="E68">
        <v>6.7</v>
      </c>
      <c r="F68">
        <v>3.1</v>
      </c>
      <c r="G68">
        <v>4.4000000000000004</v>
      </c>
      <c r="H68">
        <v>1.4</v>
      </c>
      <c r="I68" t="str">
        <v>versicolor</v>
      </c>
    </row>
    <row r="69" spans="4:9" x14ac:dyDescent="0.3">
      <c r="D69" t="str">
        <v>67</v>
      </c>
      <c r="E69">
        <v>5.6</v>
      </c>
      <c r="F69">
        <v>3</v>
      </c>
      <c r="G69">
        <v>4.5</v>
      </c>
      <c r="H69">
        <v>1.5</v>
      </c>
      <c r="I69" t="str">
        <v>versicolor</v>
      </c>
    </row>
    <row r="70" spans="4:9" x14ac:dyDescent="0.3">
      <c r="D70" t="str">
        <v>68</v>
      </c>
      <c r="E70">
        <v>5.8</v>
      </c>
      <c r="F70">
        <v>2.7</v>
      </c>
      <c r="G70">
        <v>4.0999999999999996</v>
      </c>
      <c r="H70">
        <v>1</v>
      </c>
      <c r="I70" t="str">
        <v>versicolor</v>
      </c>
    </row>
    <row r="71" spans="4:9" x14ac:dyDescent="0.3">
      <c r="D71" t="str">
        <v>69</v>
      </c>
      <c r="E71">
        <v>6.2</v>
      </c>
      <c r="F71">
        <v>2.2000000000000002</v>
      </c>
      <c r="G71">
        <v>4.5</v>
      </c>
      <c r="H71">
        <v>1.5</v>
      </c>
      <c r="I71" t="str">
        <v>versicolor</v>
      </c>
    </row>
    <row r="72" spans="4:9" x14ac:dyDescent="0.3">
      <c r="D72" t="str">
        <v>70</v>
      </c>
      <c r="E72">
        <v>5.6</v>
      </c>
      <c r="F72">
        <v>2.5</v>
      </c>
      <c r="G72">
        <v>3.9</v>
      </c>
      <c r="H72">
        <v>1.1000000000000001</v>
      </c>
      <c r="I72" t="str">
        <v>versicolor</v>
      </c>
    </row>
    <row r="73" spans="4:9" x14ac:dyDescent="0.3">
      <c r="D73" t="str">
        <v>71</v>
      </c>
      <c r="E73">
        <v>5.9</v>
      </c>
      <c r="F73">
        <v>3.2</v>
      </c>
      <c r="G73">
        <v>4.8</v>
      </c>
      <c r="H73">
        <v>1.8</v>
      </c>
      <c r="I73" t="str">
        <v>versicolor</v>
      </c>
    </row>
    <row r="74" spans="4:9" x14ac:dyDescent="0.3">
      <c r="D74" t="str">
        <v>72</v>
      </c>
      <c r="E74">
        <v>6.1</v>
      </c>
      <c r="F74">
        <v>2.8</v>
      </c>
      <c r="G74">
        <v>4</v>
      </c>
      <c r="H74">
        <v>1.3</v>
      </c>
      <c r="I74" t="str">
        <v>versicolor</v>
      </c>
    </row>
    <row r="75" spans="4:9" x14ac:dyDescent="0.3">
      <c r="D75" t="str">
        <v>73</v>
      </c>
      <c r="E75">
        <v>6.3</v>
      </c>
      <c r="F75">
        <v>2.5</v>
      </c>
      <c r="G75">
        <v>4.9000000000000004</v>
      </c>
      <c r="H75">
        <v>1.5</v>
      </c>
      <c r="I75" t="str">
        <v>versicolor</v>
      </c>
    </row>
    <row r="76" spans="4:9" x14ac:dyDescent="0.3">
      <c r="D76" t="str">
        <v>74</v>
      </c>
      <c r="E76">
        <v>6.1</v>
      </c>
      <c r="F76">
        <v>2.8</v>
      </c>
      <c r="G76">
        <v>4.7</v>
      </c>
      <c r="H76">
        <v>1.2</v>
      </c>
      <c r="I76" t="str">
        <v>versicolor</v>
      </c>
    </row>
    <row r="77" spans="4:9" x14ac:dyDescent="0.3">
      <c r="D77" t="str">
        <v>75</v>
      </c>
      <c r="E77">
        <v>6.4</v>
      </c>
      <c r="F77">
        <v>2.9</v>
      </c>
      <c r="G77">
        <v>4.3</v>
      </c>
      <c r="H77">
        <v>1.3</v>
      </c>
      <c r="I77" t="str">
        <v>versicolor</v>
      </c>
    </row>
    <row r="78" spans="4:9" x14ac:dyDescent="0.3">
      <c r="D78" t="str">
        <v>76</v>
      </c>
      <c r="E78">
        <v>6.6</v>
      </c>
      <c r="F78">
        <v>3</v>
      </c>
      <c r="G78">
        <v>4.4000000000000004</v>
      </c>
      <c r="H78">
        <v>1.4</v>
      </c>
      <c r="I78" t="str">
        <v>versicolor</v>
      </c>
    </row>
    <row r="79" spans="4:9" x14ac:dyDescent="0.3">
      <c r="D79" t="str">
        <v>77</v>
      </c>
      <c r="E79">
        <v>6.8</v>
      </c>
      <c r="F79">
        <v>2.8</v>
      </c>
      <c r="G79">
        <v>4.8</v>
      </c>
      <c r="H79">
        <v>1.4</v>
      </c>
      <c r="I79" t="str">
        <v>versicolor</v>
      </c>
    </row>
    <row r="80" spans="4:9" x14ac:dyDescent="0.3">
      <c r="D80" t="str">
        <v>78</v>
      </c>
      <c r="E80">
        <v>6.7</v>
      </c>
      <c r="F80">
        <v>3</v>
      </c>
      <c r="G80">
        <v>5</v>
      </c>
      <c r="H80">
        <v>1.7</v>
      </c>
      <c r="I80" t="str">
        <v>versicolor</v>
      </c>
    </row>
    <row r="81" spans="4:9" x14ac:dyDescent="0.3">
      <c r="D81" t="str">
        <v>79</v>
      </c>
      <c r="E81">
        <v>6</v>
      </c>
      <c r="F81">
        <v>2.9</v>
      </c>
      <c r="G81">
        <v>4.5</v>
      </c>
      <c r="H81">
        <v>1.5</v>
      </c>
      <c r="I81" t="str">
        <v>versicolor</v>
      </c>
    </row>
    <row r="82" spans="4:9" x14ac:dyDescent="0.3">
      <c r="D82" t="str">
        <v>80</v>
      </c>
      <c r="E82">
        <v>5.7</v>
      </c>
      <c r="F82">
        <v>2.6</v>
      </c>
      <c r="G82">
        <v>3.5</v>
      </c>
      <c r="H82">
        <v>1</v>
      </c>
      <c r="I82" t="str">
        <v>versicolor</v>
      </c>
    </row>
    <row r="83" spans="4:9" x14ac:dyDescent="0.3">
      <c r="D83" t="str">
        <v>81</v>
      </c>
      <c r="E83">
        <v>5.5</v>
      </c>
      <c r="F83">
        <v>2.4</v>
      </c>
      <c r="G83">
        <v>3.8</v>
      </c>
      <c r="H83">
        <v>1.1000000000000001</v>
      </c>
      <c r="I83" t="str">
        <v>versicolor</v>
      </c>
    </row>
    <row r="84" spans="4:9" x14ac:dyDescent="0.3">
      <c r="D84" t="str">
        <v>82</v>
      </c>
      <c r="E84">
        <v>5.5</v>
      </c>
      <c r="F84">
        <v>2.4</v>
      </c>
      <c r="G84">
        <v>3.7</v>
      </c>
      <c r="H84">
        <v>1</v>
      </c>
      <c r="I84" t="str">
        <v>versicolor</v>
      </c>
    </row>
    <row r="85" spans="4:9" x14ac:dyDescent="0.3">
      <c r="D85" t="str">
        <v>83</v>
      </c>
      <c r="E85">
        <v>5.8</v>
      </c>
      <c r="F85">
        <v>2.7</v>
      </c>
      <c r="G85">
        <v>3.9</v>
      </c>
      <c r="H85">
        <v>1.2</v>
      </c>
      <c r="I85" t="str">
        <v>versicolor</v>
      </c>
    </row>
    <row r="86" spans="4:9" x14ac:dyDescent="0.3">
      <c r="D86" t="str">
        <v>84</v>
      </c>
      <c r="E86">
        <v>6</v>
      </c>
      <c r="F86">
        <v>2.7</v>
      </c>
      <c r="G86">
        <v>5.0999999999999996</v>
      </c>
      <c r="H86">
        <v>1.6</v>
      </c>
      <c r="I86" t="str">
        <v>versicolor</v>
      </c>
    </row>
    <row r="87" spans="4:9" x14ac:dyDescent="0.3">
      <c r="D87" t="str">
        <v>85</v>
      </c>
      <c r="E87">
        <v>5.4</v>
      </c>
      <c r="F87">
        <v>3</v>
      </c>
      <c r="G87">
        <v>4.5</v>
      </c>
      <c r="H87">
        <v>1.5</v>
      </c>
      <c r="I87" t="str">
        <v>versicolor</v>
      </c>
    </row>
    <row r="88" spans="4:9" x14ac:dyDescent="0.3">
      <c r="D88" t="str">
        <v>86</v>
      </c>
      <c r="E88">
        <v>6</v>
      </c>
      <c r="F88">
        <v>3.4</v>
      </c>
      <c r="G88">
        <v>4.5</v>
      </c>
      <c r="H88">
        <v>1.6</v>
      </c>
      <c r="I88" t="str">
        <v>versicolor</v>
      </c>
    </row>
    <row r="89" spans="4:9" x14ac:dyDescent="0.3">
      <c r="D89" t="str">
        <v>87</v>
      </c>
      <c r="E89">
        <v>6.7</v>
      </c>
      <c r="F89">
        <v>3.1</v>
      </c>
      <c r="G89">
        <v>4.7</v>
      </c>
      <c r="H89">
        <v>1.5</v>
      </c>
      <c r="I89" t="str">
        <v>versicolor</v>
      </c>
    </row>
    <row r="90" spans="4:9" x14ac:dyDescent="0.3">
      <c r="D90" t="str">
        <v>88</v>
      </c>
      <c r="E90">
        <v>6.3</v>
      </c>
      <c r="F90">
        <v>2.2999999999999998</v>
      </c>
      <c r="G90">
        <v>4.4000000000000004</v>
      </c>
      <c r="H90">
        <v>1.3</v>
      </c>
      <c r="I90" t="str">
        <v>versicolor</v>
      </c>
    </row>
    <row r="91" spans="4:9" x14ac:dyDescent="0.3">
      <c r="D91" t="str">
        <v>89</v>
      </c>
      <c r="E91">
        <v>5.6</v>
      </c>
      <c r="F91">
        <v>3</v>
      </c>
      <c r="G91">
        <v>4.0999999999999996</v>
      </c>
      <c r="H91">
        <v>1.3</v>
      </c>
      <c r="I91" t="str">
        <v>versicolor</v>
      </c>
    </row>
    <row r="92" spans="4:9" x14ac:dyDescent="0.3">
      <c r="D92" t="str">
        <v>90</v>
      </c>
      <c r="E92">
        <v>5.5</v>
      </c>
      <c r="F92">
        <v>2.5</v>
      </c>
      <c r="G92">
        <v>4</v>
      </c>
      <c r="H92">
        <v>1.3</v>
      </c>
      <c r="I92" t="str">
        <v>versicolor</v>
      </c>
    </row>
    <row r="93" spans="4:9" x14ac:dyDescent="0.3">
      <c r="D93" t="str">
        <v>91</v>
      </c>
      <c r="E93">
        <v>5.5</v>
      </c>
      <c r="F93">
        <v>2.6</v>
      </c>
      <c r="G93">
        <v>4.4000000000000004</v>
      </c>
      <c r="H93">
        <v>1.2</v>
      </c>
      <c r="I93" t="str">
        <v>versicolor</v>
      </c>
    </row>
    <row r="94" spans="4:9" x14ac:dyDescent="0.3">
      <c r="D94" t="str">
        <v>92</v>
      </c>
      <c r="E94">
        <v>6.1</v>
      </c>
      <c r="F94">
        <v>3</v>
      </c>
      <c r="G94">
        <v>4.5999999999999996</v>
      </c>
      <c r="H94">
        <v>1.4</v>
      </c>
      <c r="I94" t="str">
        <v>versicolor</v>
      </c>
    </row>
    <row r="95" spans="4:9" x14ac:dyDescent="0.3">
      <c r="D95" t="str">
        <v>93</v>
      </c>
      <c r="E95">
        <v>5.8</v>
      </c>
      <c r="F95">
        <v>2.6</v>
      </c>
      <c r="G95">
        <v>4</v>
      </c>
      <c r="H95">
        <v>1.2</v>
      </c>
      <c r="I95" t="str">
        <v>versicolor</v>
      </c>
    </row>
    <row r="96" spans="4:9" x14ac:dyDescent="0.3">
      <c r="D96" t="str">
        <v>94</v>
      </c>
      <c r="E96">
        <v>5</v>
      </c>
      <c r="F96">
        <v>2.2999999999999998</v>
      </c>
      <c r="G96">
        <v>3.3</v>
      </c>
      <c r="H96">
        <v>1</v>
      </c>
      <c r="I96" t="str">
        <v>versicolor</v>
      </c>
    </row>
    <row r="97" spans="4:9" x14ac:dyDescent="0.3">
      <c r="D97" t="str">
        <v>95</v>
      </c>
      <c r="E97">
        <v>5.6</v>
      </c>
      <c r="F97">
        <v>2.7</v>
      </c>
      <c r="G97">
        <v>4.2</v>
      </c>
      <c r="H97">
        <v>1.3</v>
      </c>
      <c r="I97" t="str">
        <v>versicolor</v>
      </c>
    </row>
    <row r="98" spans="4:9" x14ac:dyDescent="0.3">
      <c r="D98" t="str">
        <v>96</v>
      </c>
      <c r="E98">
        <v>5.7</v>
      </c>
      <c r="F98">
        <v>3</v>
      </c>
      <c r="G98">
        <v>4.2</v>
      </c>
      <c r="H98">
        <v>1.2</v>
      </c>
      <c r="I98" t="str">
        <v>versicolor</v>
      </c>
    </row>
    <row r="99" spans="4:9" x14ac:dyDescent="0.3">
      <c r="D99" t="str">
        <v>97</v>
      </c>
      <c r="E99">
        <v>5.7</v>
      </c>
      <c r="F99">
        <v>2.9</v>
      </c>
      <c r="G99">
        <v>4.2</v>
      </c>
      <c r="H99">
        <v>1.3</v>
      </c>
      <c r="I99" t="str">
        <v>versicolor</v>
      </c>
    </row>
    <row r="100" spans="4:9" x14ac:dyDescent="0.3">
      <c r="D100" t="str">
        <v>98</v>
      </c>
      <c r="E100">
        <v>6.2</v>
      </c>
      <c r="F100">
        <v>2.9</v>
      </c>
      <c r="G100">
        <v>4.3</v>
      </c>
      <c r="H100">
        <v>1.3</v>
      </c>
      <c r="I100" t="str">
        <v>versicolor</v>
      </c>
    </row>
    <row r="101" spans="4:9" x14ac:dyDescent="0.3">
      <c r="D101" t="str">
        <v>99</v>
      </c>
      <c r="E101">
        <v>5.0999999999999996</v>
      </c>
      <c r="F101">
        <v>2.5</v>
      </c>
      <c r="G101">
        <v>3</v>
      </c>
      <c r="H101">
        <v>1.1000000000000001</v>
      </c>
      <c r="I101" t="str">
        <v>versicolor</v>
      </c>
    </row>
    <row r="102" spans="4:9" x14ac:dyDescent="0.3">
      <c r="D102" t="str">
        <v>100</v>
      </c>
      <c r="E102">
        <v>5.7</v>
      </c>
      <c r="F102">
        <v>2.8</v>
      </c>
      <c r="G102">
        <v>4.0999999999999996</v>
      </c>
      <c r="H102">
        <v>1.3</v>
      </c>
      <c r="I102" t="str">
        <v>versicolor</v>
      </c>
    </row>
    <row r="103" spans="4:9" x14ac:dyDescent="0.3">
      <c r="D103" t="str">
        <v>101</v>
      </c>
      <c r="E103">
        <v>6.3</v>
      </c>
      <c r="F103">
        <v>3.3</v>
      </c>
      <c r="G103">
        <v>6</v>
      </c>
      <c r="H103">
        <v>2.5</v>
      </c>
      <c r="I103" t="str">
        <v>virginica</v>
      </c>
    </row>
    <row r="104" spans="4:9" x14ac:dyDescent="0.3">
      <c r="D104" t="str">
        <v>102</v>
      </c>
      <c r="E104">
        <v>5.8</v>
      </c>
      <c r="F104">
        <v>2.7</v>
      </c>
      <c r="G104">
        <v>5.0999999999999996</v>
      </c>
      <c r="H104">
        <v>1.9</v>
      </c>
      <c r="I104" t="str">
        <v>virginica</v>
      </c>
    </row>
    <row r="105" spans="4:9" x14ac:dyDescent="0.3">
      <c r="D105" t="str">
        <v>103</v>
      </c>
      <c r="E105">
        <v>7.1</v>
      </c>
      <c r="F105">
        <v>3</v>
      </c>
      <c r="G105">
        <v>5.9</v>
      </c>
      <c r="H105">
        <v>2.1</v>
      </c>
      <c r="I105" t="str">
        <v>virginica</v>
      </c>
    </row>
    <row r="106" spans="4:9" x14ac:dyDescent="0.3">
      <c r="D106" t="str">
        <v>104</v>
      </c>
      <c r="E106">
        <v>6.3</v>
      </c>
      <c r="F106">
        <v>2.9</v>
      </c>
      <c r="G106">
        <v>5.6</v>
      </c>
      <c r="H106">
        <v>1.8</v>
      </c>
      <c r="I106" t="str">
        <v>virginica</v>
      </c>
    </row>
    <row r="107" spans="4:9" x14ac:dyDescent="0.3">
      <c r="D107" t="str">
        <v>105</v>
      </c>
      <c r="E107">
        <v>6.5</v>
      </c>
      <c r="F107">
        <v>3</v>
      </c>
      <c r="G107">
        <v>5.8</v>
      </c>
      <c r="H107">
        <v>2.2000000000000002</v>
      </c>
      <c r="I107" t="str">
        <v>virginica</v>
      </c>
    </row>
    <row r="108" spans="4:9" x14ac:dyDescent="0.3">
      <c r="D108" t="str">
        <v>106</v>
      </c>
      <c r="E108">
        <v>7.6</v>
      </c>
      <c r="F108">
        <v>3</v>
      </c>
      <c r="G108">
        <v>6.6</v>
      </c>
      <c r="H108">
        <v>2.1</v>
      </c>
      <c r="I108" t="str">
        <v>virginica</v>
      </c>
    </row>
    <row r="109" spans="4:9" x14ac:dyDescent="0.3">
      <c r="D109" t="str">
        <v>107</v>
      </c>
      <c r="E109">
        <v>4.9000000000000004</v>
      </c>
      <c r="F109">
        <v>2.5</v>
      </c>
      <c r="G109">
        <v>4.5</v>
      </c>
      <c r="H109">
        <v>1.7</v>
      </c>
      <c r="I109" t="str">
        <v>virginica</v>
      </c>
    </row>
    <row r="110" spans="4:9" x14ac:dyDescent="0.3">
      <c r="D110" t="str">
        <v>108</v>
      </c>
      <c r="E110">
        <v>7.3</v>
      </c>
      <c r="F110">
        <v>2.9</v>
      </c>
      <c r="G110">
        <v>6.3</v>
      </c>
      <c r="H110">
        <v>1.8</v>
      </c>
      <c r="I110" t="str">
        <v>virginica</v>
      </c>
    </row>
    <row r="111" spans="4:9" x14ac:dyDescent="0.3">
      <c r="D111" t="str">
        <v>109</v>
      </c>
      <c r="E111">
        <v>6.7</v>
      </c>
      <c r="F111">
        <v>2.5</v>
      </c>
      <c r="G111">
        <v>5.8</v>
      </c>
      <c r="H111">
        <v>1.8</v>
      </c>
      <c r="I111" t="str">
        <v>virginica</v>
      </c>
    </row>
    <row r="112" spans="4:9" x14ac:dyDescent="0.3">
      <c r="D112" t="str">
        <v>110</v>
      </c>
      <c r="E112">
        <v>7.2</v>
      </c>
      <c r="F112">
        <v>3.6</v>
      </c>
      <c r="G112">
        <v>6.1</v>
      </c>
      <c r="H112">
        <v>2.5</v>
      </c>
      <c r="I112" t="str">
        <v>virginica</v>
      </c>
    </row>
    <row r="113" spans="4:9" x14ac:dyDescent="0.3">
      <c r="D113" t="str">
        <v>111</v>
      </c>
      <c r="E113">
        <v>6.5</v>
      </c>
      <c r="F113">
        <v>3.2</v>
      </c>
      <c r="G113">
        <v>5.0999999999999996</v>
      </c>
      <c r="H113">
        <v>2</v>
      </c>
      <c r="I113" t="str">
        <v>virginica</v>
      </c>
    </row>
    <row r="114" spans="4:9" x14ac:dyDescent="0.3">
      <c r="D114" t="str">
        <v>112</v>
      </c>
      <c r="E114">
        <v>6.4</v>
      </c>
      <c r="F114">
        <v>2.7</v>
      </c>
      <c r="G114">
        <v>5.3</v>
      </c>
      <c r="H114">
        <v>1.9</v>
      </c>
      <c r="I114" t="str">
        <v>virginica</v>
      </c>
    </row>
    <row r="115" spans="4:9" x14ac:dyDescent="0.3">
      <c r="D115" t="str">
        <v>113</v>
      </c>
      <c r="E115">
        <v>6.8</v>
      </c>
      <c r="F115">
        <v>3</v>
      </c>
      <c r="G115">
        <v>5.5</v>
      </c>
      <c r="H115">
        <v>2.1</v>
      </c>
      <c r="I115" t="str">
        <v>virginica</v>
      </c>
    </row>
    <row r="116" spans="4:9" x14ac:dyDescent="0.3">
      <c r="D116" t="str">
        <v>114</v>
      </c>
      <c r="E116">
        <v>5.7</v>
      </c>
      <c r="F116">
        <v>2.5</v>
      </c>
      <c r="G116">
        <v>5</v>
      </c>
      <c r="H116">
        <v>2</v>
      </c>
      <c r="I116" t="str">
        <v>virginica</v>
      </c>
    </row>
    <row r="117" spans="4:9" x14ac:dyDescent="0.3">
      <c r="D117" t="str">
        <v>115</v>
      </c>
      <c r="E117">
        <v>5.8</v>
      </c>
      <c r="F117">
        <v>2.8</v>
      </c>
      <c r="G117">
        <v>5.0999999999999996</v>
      </c>
      <c r="H117">
        <v>2.4</v>
      </c>
      <c r="I117" t="str">
        <v>virginica</v>
      </c>
    </row>
    <row r="118" spans="4:9" x14ac:dyDescent="0.3">
      <c r="D118" t="str">
        <v>116</v>
      </c>
      <c r="E118">
        <v>6.4</v>
      </c>
      <c r="F118">
        <v>3.2</v>
      </c>
      <c r="G118">
        <v>5.3</v>
      </c>
      <c r="H118">
        <v>2.2999999999999998</v>
      </c>
      <c r="I118" t="str">
        <v>virginica</v>
      </c>
    </row>
    <row r="119" spans="4:9" x14ac:dyDescent="0.3">
      <c r="D119" t="str">
        <v>117</v>
      </c>
      <c r="E119">
        <v>6.5</v>
      </c>
      <c r="F119">
        <v>3</v>
      </c>
      <c r="G119">
        <v>5.5</v>
      </c>
      <c r="H119">
        <v>1.8</v>
      </c>
      <c r="I119" t="str">
        <v>virginica</v>
      </c>
    </row>
    <row r="120" spans="4:9" x14ac:dyDescent="0.3">
      <c r="D120" t="str">
        <v>118</v>
      </c>
      <c r="E120">
        <v>7.7</v>
      </c>
      <c r="F120">
        <v>3.8</v>
      </c>
      <c r="G120">
        <v>6.7</v>
      </c>
      <c r="H120">
        <v>2.2000000000000002</v>
      </c>
      <c r="I120" t="str">
        <v>virginica</v>
      </c>
    </row>
    <row r="121" spans="4:9" x14ac:dyDescent="0.3">
      <c r="D121" t="str">
        <v>119</v>
      </c>
      <c r="E121">
        <v>7.7</v>
      </c>
      <c r="F121">
        <v>2.6</v>
      </c>
      <c r="G121">
        <v>6.9</v>
      </c>
      <c r="H121">
        <v>2.2999999999999998</v>
      </c>
      <c r="I121" t="str">
        <v>virginica</v>
      </c>
    </row>
    <row r="122" spans="4:9" x14ac:dyDescent="0.3">
      <c r="D122" t="str">
        <v>120</v>
      </c>
      <c r="E122">
        <v>6</v>
      </c>
      <c r="F122">
        <v>2.2000000000000002</v>
      </c>
      <c r="G122">
        <v>5</v>
      </c>
      <c r="H122">
        <v>1.5</v>
      </c>
      <c r="I122" t="str">
        <v>virginica</v>
      </c>
    </row>
    <row r="123" spans="4:9" x14ac:dyDescent="0.3">
      <c r="D123" t="str">
        <v>121</v>
      </c>
      <c r="E123">
        <v>6.9</v>
      </c>
      <c r="F123">
        <v>3.2</v>
      </c>
      <c r="G123">
        <v>5.7</v>
      </c>
      <c r="H123">
        <v>2.2999999999999998</v>
      </c>
      <c r="I123" t="str">
        <v>virginica</v>
      </c>
    </row>
    <row r="124" spans="4:9" x14ac:dyDescent="0.3">
      <c r="D124" t="str">
        <v>122</v>
      </c>
      <c r="E124">
        <v>5.6</v>
      </c>
      <c r="F124">
        <v>2.8</v>
      </c>
      <c r="G124">
        <v>4.9000000000000004</v>
      </c>
      <c r="H124">
        <v>2</v>
      </c>
      <c r="I124" t="str">
        <v>virginica</v>
      </c>
    </row>
    <row r="125" spans="4:9" x14ac:dyDescent="0.3">
      <c r="D125" t="str">
        <v>123</v>
      </c>
      <c r="E125">
        <v>7.7</v>
      </c>
      <c r="F125">
        <v>2.8</v>
      </c>
      <c r="G125">
        <v>6.7</v>
      </c>
      <c r="H125">
        <v>2</v>
      </c>
      <c r="I125" t="str">
        <v>virginica</v>
      </c>
    </row>
    <row r="126" spans="4:9" x14ac:dyDescent="0.3">
      <c r="D126" t="str">
        <v>124</v>
      </c>
      <c r="E126">
        <v>6.3</v>
      </c>
      <c r="F126">
        <v>2.7</v>
      </c>
      <c r="G126">
        <v>4.9000000000000004</v>
      </c>
      <c r="H126">
        <v>1.8</v>
      </c>
      <c r="I126" t="str">
        <v>virginica</v>
      </c>
    </row>
    <row r="127" spans="4:9" x14ac:dyDescent="0.3">
      <c r="D127" t="str">
        <v>125</v>
      </c>
      <c r="E127">
        <v>6.7</v>
      </c>
      <c r="F127">
        <v>3.3</v>
      </c>
      <c r="G127">
        <v>5.7</v>
      </c>
      <c r="H127">
        <v>2.1</v>
      </c>
      <c r="I127" t="str">
        <v>virginica</v>
      </c>
    </row>
    <row r="128" spans="4:9" x14ac:dyDescent="0.3">
      <c r="D128" t="str">
        <v>126</v>
      </c>
      <c r="E128">
        <v>7.2</v>
      </c>
      <c r="F128">
        <v>3.2</v>
      </c>
      <c r="G128">
        <v>6</v>
      </c>
      <c r="H128">
        <v>1.8</v>
      </c>
      <c r="I128" t="str">
        <v>virginica</v>
      </c>
    </row>
    <row r="129" spans="4:9" x14ac:dyDescent="0.3">
      <c r="D129" t="str">
        <v>127</v>
      </c>
      <c r="E129">
        <v>6.2</v>
      </c>
      <c r="F129">
        <v>2.8</v>
      </c>
      <c r="G129">
        <v>4.8</v>
      </c>
      <c r="H129">
        <v>1.8</v>
      </c>
      <c r="I129" t="str">
        <v>virginica</v>
      </c>
    </row>
    <row r="130" spans="4:9" x14ac:dyDescent="0.3">
      <c r="D130" t="str">
        <v>128</v>
      </c>
      <c r="E130">
        <v>6.1</v>
      </c>
      <c r="F130">
        <v>3</v>
      </c>
      <c r="G130">
        <v>4.9000000000000004</v>
      </c>
      <c r="H130">
        <v>1.8</v>
      </c>
      <c r="I130" t="str">
        <v>virginica</v>
      </c>
    </row>
    <row r="131" spans="4:9" x14ac:dyDescent="0.3">
      <c r="D131" t="str">
        <v>129</v>
      </c>
      <c r="E131">
        <v>6.4</v>
      </c>
      <c r="F131">
        <v>2.8</v>
      </c>
      <c r="G131">
        <v>5.6</v>
      </c>
      <c r="H131">
        <v>2.1</v>
      </c>
      <c r="I131" t="str">
        <v>virginica</v>
      </c>
    </row>
    <row r="132" spans="4:9" x14ac:dyDescent="0.3">
      <c r="D132" t="str">
        <v>130</v>
      </c>
      <c r="E132">
        <v>7.2</v>
      </c>
      <c r="F132">
        <v>3</v>
      </c>
      <c r="G132">
        <v>5.8</v>
      </c>
      <c r="H132">
        <v>1.6</v>
      </c>
      <c r="I132" t="str">
        <v>virginica</v>
      </c>
    </row>
    <row r="133" spans="4:9" x14ac:dyDescent="0.3">
      <c r="D133" t="str">
        <v>131</v>
      </c>
      <c r="E133">
        <v>7.4</v>
      </c>
      <c r="F133">
        <v>2.8</v>
      </c>
      <c r="G133">
        <v>6.1</v>
      </c>
      <c r="H133">
        <v>1.9</v>
      </c>
      <c r="I133" t="str">
        <v>virginica</v>
      </c>
    </row>
    <row r="134" spans="4:9" x14ac:dyDescent="0.3">
      <c r="D134" t="str">
        <v>132</v>
      </c>
      <c r="E134">
        <v>7.9</v>
      </c>
      <c r="F134">
        <v>3.8</v>
      </c>
      <c r="G134">
        <v>6.4</v>
      </c>
      <c r="H134">
        <v>2</v>
      </c>
      <c r="I134" t="str">
        <v>virginica</v>
      </c>
    </row>
    <row r="135" spans="4:9" x14ac:dyDescent="0.3">
      <c r="D135" t="str">
        <v>133</v>
      </c>
      <c r="E135">
        <v>6.4</v>
      </c>
      <c r="F135">
        <v>2.8</v>
      </c>
      <c r="G135">
        <v>5.6</v>
      </c>
      <c r="H135">
        <v>2.2000000000000002</v>
      </c>
      <c r="I135" t="str">
        <v>virginica</v>
      </c>
    </row>
    <row r="136" spans="4:9" x14ac:dyDescent="0.3">
      <c r="D136" t="str">
        <v>134</v>
      </c>
      <c r="E136">
        <v>6.3</v>
      </c>
      <c r="F136">
        <v>2.8</v>
      </c>
      <c r="G136">
        <v>5.0999999999999996</v>
      </c>
      <c r="H136">
        <v>1.5</v>
      </c>
      <c r="I136" t="str">
        <v>virginica</v>
      </c>
    </row>
    <row r="137" spans="4:9" x14ac:dyDescent="0.3">
      <c r="D137" t="str">
        <v>135</v>
      </c>
      <c r="E137">
        <v>6.1</v>
      </c>
      <c r="F137">
        <v>2.6</v>
      </c>
      <c r="G137">
        <v>5.6</v>
      </c>
      <c r="H137">
        <v>1.4</v>
      </c>
      <c r="I137" t="str">
        <v>virginica</v>
      </c>
    </row>
    <row r="138" spans="4:9" x14ac:dyDescent="0.3">
      <c r="D138" t="str">
        <v>136</v>
      </c>
      <c r="E138">
        <v>7.7</v>
      </c>
      <c r="F138">
        <v>3</v>
      </c>
      <c r="G138">
        <v>6.1</v>
      </c>
      <c r="H138">
        <v>2.2999999999999998</v>
      </c>
      <c r="I138" t="str">
        <v>virginica</v>
      </c>
    </row>
    <row r="139" spans="4:9" x14ac:dyDescent="0.3">
      <c r="D139" t="str">
        <v>137</v>
      </c>
      <c r="E139">
        <v>6.3</v>
      </c>
      <c r="F139">
        <v>3.4</v>
      </c>
      <c r="G139">
        <v>5.6</v>
      </c>
      <c r="H139">
        <v>2.4</v>
      </c>
      <c r="I139" t="str">
        <v>virginica</v>
      </c>
    </row>
    <row r="140" spans="4:9" x14ac:dyDescent="0.3">
      <c r="D140" t="str">
        <v>138</v>
      </c>
      <c r="E140">
        <v>6.4</v>
      </c>
      <c r="F140">
        <v>3.1</v>
      </c>
      <c r="G140">
        <v>5.5</v>
      </c>
      <c r="H140">
        <v>1.8</v>
      </c>
      <c r="I140" t="str">
        <v>virginica</v>
      </c>
    </row>
    <row r="141" spans="4:9" x14ac:dyDescent="0.3">
      <c r="D141" t="str">
        <v>139</v>
      </c>
      <c r="E141">
        <v>6</v>
      </c>
      <c r="F141">
        <v>3</v>
      </c>
      <c r="G141">
        <v>4.8</v>
      </c>
      <c r="H141">
        <v>1.8</v>
      </c>
      <c r="I141" t="str">
        <v>virginica</v>
      </c>
    </row>
    <row r="142" spans="4:9" x14ac:dyDescent="0.3">
      <c r="D142" t="str">
        <v>140</v>
      </c>
      <c r="E142">
        <v>6.9</v>
      </c>
      <c r="F142">
        <v>3.1</v>
      </c>
      <c r="G142">
        <v>5.4</v>
      </c>
      <c r="H142">
        <v>2.1</v>
      </c>
      <c r="I142" t="str">
        <v>virginica</v>
      </c>
    </row>
    <row r="143" spans="4:9" x14ac:dyDescent="0.3">
      <c r="D143" t="str">
        <v>141</v>
      </c>
      <c r="E143">
        <v>6.7</v>
      </c>
      <c r="F143">
        <v>3.1</v>
      </c>
      <c r="G143">
        <v>5.6</v>
      </c>
      <c r="H143">
        <v>2.4</v>
      </c>
      <c r="I143" t="str">
        <v>virginica</v>
      </c>
    </row>
    <row r="144" spans="4:9" x14ac:dyDescent="0.3">
      <c r="D144" t="str">
        <v>142</v>
      </c>
      <c r="E144">
        <v>6.9</v>
      </c>
      <c r="F144">
        <v>3.1</v>
      </c>
      <c r="G144">
        <v>5.0999999999999996</v>
      </c>
      <c r="H144">
        <v>2.2999999999999998</v>
      </c>
      <c r="I144" t="str">
        <v>virginica</v>
      </c>
    </row>
    <row r="145" spans="4:9" x14ac:dyDescent="0.3">
      <c r="D145" t="str">
        <v>143</v>
      </c>
      <c r="E145">
        <v>5.8</v>
      </c>
      <c r="F145">
        <v>2.7</v>
      </c>
      <c r="G145">
        <v>5.0999999999999996</v>
      </c>
      <c r="H145">
        <v>1.9</v>
      </c>
      <c r="I145" t="str">
        <v>virginica</v>
      </c>
    </row>
    <row r="146" spans="4:9" x14ac:dyDescent="0.3">
      <c r="D146" t="str">
        <v>144</v>
      </c>
      <c r="E146">
        <v>6.8</v>
      </c>
      <c r="F146">
        <v>3.2</v>
      </c>
      <c r="G146">
        <v>5.9</v>
      </c>
      <c r="H146">
        <v>2.2999999999999998</v>
      </c>
      <c r="I146" t="str">
        <v>virginica</v>
      </c>
    </row>
    <row r="147" spans="4:9" x14ac:dyDescent="0.3">
      <c r="D147" t="str">
        <v>145</v>
      </c>
      <c r="E147">
        <v>6.7</v>
      </c>
      <c r="F147">
        <v>3.3</v>
      </c>
      <c r="G147">
        <v>5.7</v>
      </c>
      <c r="H147">
        <v>2.5</v>
      </c>
      <c r="I147" t="str">
        <v>virginica</v>
      </c>
    </row>
    <row r="148" spans="4:9" x14ac:dyDescent="0.3">
      <c r="D148" t="str">
        <v>146</v>
      </c>
      <c r="E148">
        <v>6.7</v>
      </c>
      <c r="F148">
        <v>3</v>
      </c>
      <c r="G148">
        <v>5.2</v>
      </c>
      <c r="H148">
        <v>2.2999999999999998</v>
      </c>
      <c r="I148" t="str">
        <v>virginica</v>
      </c>
    </row>
    <row r="149" spans="4:9" x14ac:dyDescent="0.3">
      <c r="D149" t="str">
        <v>147</v>
      </c>
      <c r="E149">
        <v>6.3</v>
      </c>
      <c r="F149">
        <v>2.5</v>
      </c>
      <c r="G149">
        <v>5</v>
      </c>
      <c r="H149">
        <v>1.9</v>
      </c>
      <c r="I149" t="str">
        <v>virginica</v>
      </c>
    </row>
    <row r="150" spans="4:9" x14ac:dyDescent="0.3">
      <c r="D150" t="str">
        <v>148</v>
      </c>
      <c r="E150">
        <v>6.5</v>
      </c>
      <c r="F150">
        <v>3</v>
      </c>
      <c r="G150">
        <v>5.2</v>
      </c>
      <c r="H150">
        <v>2</v>
      </c>
      <c r="I150" t="str">
        <v>virginica</v>
      </c>
    </row>
    <row r="151" spans="4:9" x14ac:dyDescent="0.3">
      <c r="D151" t="str">
        <v>149</v>
      </c>
      <c r="E151">
        <v>6.2</v>
      </c>
      <c r="F151">
        <v>3.4</v>
      </c>
      <c r="G151">
        <v>5.4</v>
      </c>
      <c r="H151">
        <v>2.2999999999999998</v>
      </c>
      <c r="I151" t="str">
        <v>virginica</v>
      </c>
    </row>
    <row r="152" spans="4:9" x14ac:dyDescent="0.3">
      <c r="D152" t="str">
        <v>150</v>
      </c>
      <c r="E152">
        <v>5.9</v>
      </c>
      <c r="F152">
        <v>3</v>
      </c>
      <c r="G152">
        <v>5.0999999999999996</v>
      </c>
      <c r="H152">
        <v>1.8</v>
      </c>
      <c r="I152" t="str">
        <v>virginica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265B-52E4-402D-A4E0-7BE5FD7B28F4}">
  <dimension ref="B2:H24"/>
  <sheetViews>
    <sheetView tabSelected="1" topLeftCell="A10" workbookViewId="0">
      <selection activeCell="D25" sqref="D25"/>
    </sheetView>
  </sheetViews>
  <sheetFormatPr defaultRowHeight="14.4" x14ac:dyDescent="0.3"/>
  <cols>
    <col min="2" max="2" width="43" customWidth="1"/>
    <col min="4" max="4" width="10.5546875" customWidth="1"/>
    <col min="7" max="7" width="11" customWidth="1"/>
    <col min="8" max="8" width="12.33203125" bestFit="1" customWidth="1"/>
    <col min="11" max="11" width="12.21875" customWidth="1"/>
  </cols>
  <sheetData>
    <row r="2" spans="2:8" x14ac:dyDescent="0.3">
      <c r="B2" t="s">
        <v>6</v>
      </c>
    </row>
    <row r="3" spans="2:8" x14ac:dyDescent="0.3">
      <c r="B3" t="s">
        <v>5</v>
      </c>
      <c r="D3" t="str" cm="1">
        <f t="array" ref="D3">_xll.RScript.Evaluate(B3)</f>
        <v>df</v>
      </c>
    </row>
    <row r="5" spans="2:8" x14ac:dyDescent="0.3">
      <c r="B5" t="s">
        <v>7</v>
      </c>
    </row>
    <row r="6" spans="2:8" x14ac:dyDescent="0.3">
      <c r="B6" t="s">
        <v>8</v>
      </c>
      <c r="D6" t="str" cm="1">
        <f t="array" ref="D6">_xll.RScript.Evaluate(B6)</f>
        <v>pca</v>
      </c>
    </row>
    <row r="8" spans="2:8" x14ac:dyDescent="0.3">
      <c r="B8" t="s">
        <v>9</v>
      </c>
    </row>
    <row r="9" spans="2:8" x14ac:dyDescent="0.3">
      <c r="B9" t="s">
        <v>10</v>
      </c>
      <c r="D9" t="str" cm="1">
        <f t="array" ref="D9">_xll.RScript.Evaluate(B9)</f>
        <v>eigenvalues</v>
      </c>
    </row>
    <row r="10" spans="2:8" x14ac:dyDescent="0.3">
      <c r="B10" t="str">
        <f>"df_eigenvals = as.data.frame("&amp;D9&amp;")"</f>
        <v>df_eigenvals = as.data.frame(eigenvalues)</v>
      </c>
      <c r="D10" t="str" cm="1">
        <f t="array" ref="D10">_xll.RScript.Evaluate(B10)</f>
        <v>df_eigenvals</v>
      </c>
      <c r="F10" t="str" cm="1">
        <f t="array" ref="F10:G14">_xll.RScript.Evaluate(D10)</f>
        <v>Index</v>
      </c>
      <c r="G10" t="str">
        <v>eigenvalues</v>
      </c>
      <c r="H10" t="s">
        <v>17</v>
      </c>
    </row>
    <row r="11" spans="2:8" x14ac:dyDescent="0.3">
      <c r="F11" t="str">
        <v>1</v>
      </c>
      <c r="G11">
        <v>2.918497816531997</v>
      </c>
      <c r="H11">
        <f>G11/SUM($G$11:$G$14)</f>
        <v>0.72962445413299892</v>
      </c>
    </row>
    <row r="12" spans="2:8" x14ac:dyDescent="0.3">
      <c r="F12" t="str">
        <v>2</v>
      </c>
      <c r="G12">
        <v>0.91403047146807026</v>
      </c>
      <c r="H12">
        <f t="shared" ref="H12:H14" si="0">G12/SUM($G$11:$G$14)</f>
        <v>0.22850761786701745</v>
      </c>
    </row>
    <row r="13" spans="2:8" x14ac:dyDescent="0.3">
      <c r="F13" t="str">
        <v>3</v>
      </c>
      <c r="G13">
        <v>0.146756875571315</v>
      </c>
      <c r="H13">
        <f t="shared" si="0"/>
        <v>3.6689218892828737E-2</v>
      </c>
    </row>
    <row r="14" spans="2:8" x14ac:dyDescent="0.3">
      <c r="F14" t="str">
        <v>4</v>
      </c>
      <c r="G14">
        <v>2.0714836428619241E-2</v>
      </c>
      <c r="H14">
        <f t="shared" si="0"/>
        <v>5.1787091071548077E-3</v>
      </c>
    </row>
    <row r="16" spans="2:8" x14ac:dyDescent="0.3">
      <c r="B16" t="s">
        <v>11</v>
      </c>
    </row>
    <row r="17" spans="2:4" ht="43.2" x14ac:dyDescent="0.3">
      <c r="B17" s="2" t="s">
        <v>12</v>
      </c>
      <c r="D17" t="str" cm="1">
        <f t="array" ref="D17">_xll.RScript.Evaluate(B17)</f>
        <v>OK</v>
      </c>
    </row>
    <row r="19" spans="2:4" x14ac:dyDescent="0.3">
      <c r="B19" t="s">
        <v>13</v>
      </c>
    </row>
    <row r="20" spans="2:4" x14ac:dyDescent="0.3">
      <c r="B20" t="s">
        <v>14</v>
      </c>
      <c r="D20" t="str" cm="1">
        <f t="array" ref="D20">_xll.RScript.Evaluate(B20)</f>
        <v>OK</v>
      </c>
    </row>
    <row r="22" spans="2:4" x14ac:dyDescent="0.3">
      <c r="B22" t="s">
        <v>15</v>
      </c>
    </row>
    <row r="23" spans="2:4" ht="57.6" x14ac:dyDescent="0.3">
      <c r="B23" s="2" t="s">
        <v>16</v>
      </c>
      <c r="D23" t="str" cm="1">
        <f t="array" ref="D23">_xll.RScript.Evaluate(B23)</f>
        <v>OK</v>
      </c>
    </row>
    <row r="24" spans="2:4" x14ac:dyDescent="0.3">
      <c r="B24" t="s">
        <v>14</v>
      </c>
      <c r="D24" t="str" cm="1">
        <f t="array" ref="D24">_xll.RScript.Evaluate(B24)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References</vt:lpstr>
      <vt:lpstr>Data</vt:lpstr>
      <vt:lpstr>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2023-10-25T13:48:24Z</dcterms:created>
  <dcterms:modified xsi:type="dcterms:W3CDTF">2026-09-25T11:36:18Z</dcterms:modified>
</cp:coreProperties>
</file>