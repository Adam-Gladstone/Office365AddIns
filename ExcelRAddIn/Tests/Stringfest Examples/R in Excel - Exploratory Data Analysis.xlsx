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harts/chartEx1.xml" ContentType="application/vnd.ms-office.chartex+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omments3.xml" ContentType="application/vnd.openxmlformats-officedocument.spreadsheetml.comments+xml"/>
  <Override PartName="/xl/drawings/drawing3.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D:\Development\Projects\C#\Office\Office365 AddIns\ExcelRAddIn\Tests\Stringfest Examples\"/>
    </mc:Choice>
  </mc:AlternateContent>
  <xr:revisionPtr revIDLastSave="0" documentId="13_ncr:1_{74845F48-2525-4D21-AB18-2A29D4126B29}" xr6:coauthVersionLast="47" xr6:coauthVersionMax="47" xr10:uidLastSave="{00000000-0000-0000-0000-000000000000}"/>
  <bookViews>
    <workbookView xWindow="-108" yWindow="-108" windowWidth="23256" windowHeight="12456" activeTab="6" xr2:uid="{EB0856D8-E191-4F16-B73A-E50C554CDF02}"/>
  </bookViews>
  <sheets>
    <sheet name="References" sheetId="1" r:id="rId1"/>
    <sheet name="Libraries" sheetId="2" r:id="rId2"/>
    <sheet name="Datasets" sheetId="3" r:id="rId3"/>
    <sheet name="EDA" sheetId="4" r:id="rId4"/>
    <sheet name="Histograms" sheetId="6" r:id="rId5"/>
    <sheet name="Boxplots" sheetId="7" r:id="rId6"/>
    <sheet name="Correlations" sheetId="8" r:id="rId7"/>
  </sheets>
  <definedNames>
    <definedName name="_xlchart.v1.0" hidden="1">Datasets!$L$3:$L$394</definedName>
    <definedName name="ExternalData_1" localSheetId="2" hidden="1">Datasets!$L$2:$T$394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4" i="8" l="1" a="1"/>
  <c r="D6" i="8" a="1"/>
  <c r="B7" i="8" a="1"/>
  <c r="D4" i="8" a="1"/>
  <c r="C36" i="7" a="1"/>
  <c r="D4" i="7" a="1"/>
  <c r="D37" i="6" a="1"/>
  <c r="D34" i="6" a="1"/>
  <c r="D31" i="6" a="1"/>
  <c r="C28" i="6" a="1"/>
  <c r="D4" i="6" a="1"/>
  <c r="D7" i="4" a="1"/>
  <c r="B4" i="4" a="1"/>
  <c r="E6" i="2" a="1"/>
  <c r="E5" i="2" a="1"/>
  <c r="E4" i="2" a="1"/>
  <c r="C6" i="2"/>
  <c r="C5" i="2"/>
  <c r="C4"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Adam Gladstone</author>
  </authors>
  <commentList>
    <comment ref="A1" authorId="0" shapeId="0" xr:uid="{49C3B8A7-A5A2-4EAF-8C6E-7BDE0B7F73A5}">
      <text>
        <r>
          <rPr>
            <b/>
            <sz val="9"/>
            <color indexed="81"/>
            <rFont val="Tahoma"/>
            <family val="2"/>
          </rPr>
          <t>Adam Gladstone:</t>
        </r>
        <r>
          <rPr>
            <sz val="9"/>
            <color indexed="81"/>
            <rFont val="Tahoma"/>
            <family val="2"/>
          </rPr>
          <t xml:space="preserve">
Insert the original dataset
Use PowerQuery to remove errors and empty cells
Return with a correct table. The table (structure) analysis - column types, missing, etc is best performed in Power Query.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Adam Gladstone</author>
  </authors>
  <commentList>
    <comment ref="C20" authorId="0" shapeId="0" xr:uid="{3A9FF716-0DE3-4E45-ABEB-C71765647100}">
      <text>
        <r>
          <rPr>
            <b/>
            <sz val="9"/>
            <color indexed="81"/>
            <rFont val="Tahoma"/>
            <family val="2"/>
          </rPr>
          <t>Adam Gladstone:</t>
        </r>
        <r>
          <rPr>
            <sz val="9"/>
            <color indexed="81"/>
            <rFont val="Tahoma"/>
            <family val="2"/>
          </rPr>
          <t xml:space="preserve">
This is 'script' rather than text so we need to force it to be interpreted as such.</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Adam Gladstone</author>
  </authors>
  <commentList>
    <comment ref="B21" authorId="0" shapeId="0" xr:uid="{56E3D5AA-B576-4634-9009-ECA4A4A0E1EA}">
      <text>
        <r>
          <rPr>
            <b/>
            <sz val="9"/>
            <color indexed="81"/>
            <rFont val="Tahoma"/>
            <family val="2"/>
          </rPr>
          <t>Adam Gladstone:</t>
        </r>
        <r>
          <rPr>
            <sz val="9"/>
            <color indexed="81"/>
            <rFont val="Tahoma"/>
            <family val="2"/>
          </rPr>
          <t xml:space="preserve">
https://www.rdocumentation.org/packages/graphics/versions/3.6.2/topics/boxplot</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Adam Gladstone</author>
  </authors>
  <commentList>
    <comment ref="B14" authorId="0" shapeId="0" xr:uid="{A132920F-31E5-4661-B8BF-0413BC2F27FB}">
      <text>
        <r>
          <rPr>
            <b/>
            <sz val="9"/>
            <color indexed="81"/>
            <rFont val="Tahoma"/>
            <family val="2"/>
          </rPr>
          <t>Adam Gladstone:</t>
        </r>
        <r>
          <rPr>
            <sz val="9"/>
            <color indexed="81"/>
            <rFont val="Tahoma"/>
            <family val="2"/>
          </rPr>
          <t xml:space="preserve">
Positive correlations are displayed in blue and negative correlations in red color. Color intensity and the size of the circle are proportional to the correlation coefficients. In the right side of the correlogram, the legend color shows the correlation coefficients and the corresponding colors.</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67D3818-069F-48BF-B89D-8F1FB14E7E0D}" keepAlive="1" name="Query - tMPG" description="Connection to the 'tMPG' query in the workbook." type="5" refreshedVersion="8" background="1" saveData="1">
    <dbPr connection="Provider=Microsoft.Mashup.OleDb.1;Data Source=$Workbook$;Location=tMPG;Extended Properties=&quot;&quot;" command="SELECT * FROM [tMPG]"/>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<sst xmlns="http://schemas.openxmlformats.org/spreadsheetml/2006/main" count="1669" uniqueCount="375">
  <si>
    <t>References</t>
  </si>
  <si>
    <t>Libraries</t>
  </si>
  <si>
    <t>Copilot for Excel: How to do exploratory data analysis with Python - Stringfest Analytics</t>
  </si>
  <si>
    <t>mpg</t>
  </si>
  <si>
    <t>cylinders</t>
  </si>
  <si>
    <t>displacement</t>
  </si>
  <si>
    <t>horsepower</t>
  </si>
  <si>
    <t>weight</t>
  </si>
  <si>
    <t>acceleration</t>
  </si>
  <si>
    <t>model_year</t>
  </si>
  <si>
    <t>origin</t>
  </si>
  <si>
    <t>name</t>
  </si>
  <si>
    <t>usa</t>
  </si>
  <si>
    <t>chevrolet chevelle malibu</t>
  </si>
  <si>
    <t>buick skylark 320</t>
  </si>
  <si>
    <t>plymouth satellite</t>
  </si>
  <si>
    <t>amc rebel sst</t>
  </si>
  <si>
    <t>ford torino</t>
  </si>
  <si>
    <t>ford galaxie 500</t>
  </si>
  <si>
    <t>chevrolet impala</t>
  </si>
  <si>
    <t>plymouth fury iii</t>
  </si>
  <si>
    <t>pontiac catalina</t>
  </si>
  <si>
    <t>amc ambassador dpl</t>
  </si>
  <si>
    <t>dodge challenger se</t>
  </si>
  <si>
    <t>plymouth 'cuda 340</t>
  </si>
  <si>
    <t>chevrolet monte carlo</t>
  </si>
  <si>
    <t>buick estate wagon (sw)</t>
  </si>
  <si>
    <t>japan</t>
  </si>
  <si>
    <t>toyota corona mark ii</t>
  </si>
  <si>
    <t>plymouth duster</t>
  </si>
  <si>
    <t>amc hornet</t>
  </si>
  <si>
    <t>ford maverick</t>
  </si>
  <si>
    <t>datsun pl510</t>
  </si>
  <si>
    <t>europe</t>
  </si>
  <si>
    <t>volkswagen 1131 deluxe sedan</t>
  </si>
  <si>
    <t>peugeot 504</t>
  </si>
  <si>
    <t>audi 100 ls</t>
  </si>
  <si>
    <t>saab 99e</t>
  </si>
  <si>
    <t>bmw 2002</t>
  </si>
  <si>
    <t>amc gremlin</t>
  </si>
  <si>
    <t>ford f250</t>
  </si>
  <si>
    <t>chevy c20</t>
  </si>
  <si>
    <t>dodge d200</t>
  </si>
  <si>
    <t>hi 1200d</t>
  </si>
  <si>
    <t>chevrolet vega 2300</t>
  </si>
  <si>
    <t>toyota corona</t>
  </si>
  <si>
    <t>ford pinto</t>
  </si>
  <si>
    <t>plymouth satellite custom</t>
  </si>
  <si>
    <t>ford torino 500</t>
  </si>
  <si>
    <t>amc matador</t>
  </si>
  <si>
    <t>pontiac catalina brougham</t>
  </si>
  <si>
    <t>dodge monaco (sw)</t>
  </si>
  <si>
    <t>ford country squire (sw)</t>
  </si>
  <si>
    <t>pontiac safari (sw)</t>
  </si>
  <si>
    <t>amc hornet sportabout (sw)</t>
  </si>
  <si>
    <t>chevrolet vega (sw)</t>
  </si>
  <si>
    <t>pontiac firebird</t>
  </si>
  <si>
    <t>ford mustang</t>
  </si>
  <si>
    <t>mercury capri 2000</t>
  </si>
  <si>
    <t>opel 1900</t>
  </si>
  <si>
    <t>peugeot 304</t>
  </si>
  <si>
    <t>fiat 124b</t>
  </si>
  <si>
    <t>toyota corolla 1200</t>
  </si>
  <si>
    <t>datsun 1200</t>
  </si>
  <si>
    <t>volkswagen model 111</t>
  </si>
  <si>
    <t>plymouth cricket</t>
  </si>
  <si>
    <t>toyota corona hardtop</t>
  </si>
  <si>
    <t>dodge colt hardtop</t>
  </si>
  <si>
    <t>volkswagen type 3</t>
  </si>
  <si>
    <t>chevrolet vega</t>
  </si>
  <si>
    <t>ford pinto runabout</t>
  </si>
  <si>
    <t>amc ambassador sst</t>
  </si>
  <si>
    <t>mercury marquis</t>
  </si>
  <si>
    <t>buick lesabre custom</t>
  </si>
  <si>
    <t>oldsmobile delta 88 royale</t>
  </si>
  <si>
    <t>chrysler newport royal</t>
  </si>
  <si>
    <t>mazda rx2 coupe</t>
  </si>
  <si>
    <t>amc matador (sw)</t>
  </si>
  <si>
    <t>chevrolet chevelle concours (sw)</t>
  </si>
  <si>
    <t>ford gran torino (sw)</t>
  </si>
  <si>
    <t>plymouth satellite custom (sw)</t>
  </si>
  <si>
    <t>volvo 145e (sw)</t>
  </si>
  <si>
    <t>volkswagen 411 (sw)</t>
  </si>
  <si>
    <t>peugeot 504 (sw)</t>
  </si>
  <si>
    <t>renault 12 (sw)</t>
  </si>
  <si>
    <t>ford pinto (sw)</t>
  </si>
  <si>
    <t>datsun 510 (sw)</t>
  </si>
  <si>
    <t>toyouta corona mark ii (sw)</t>
  </si>
  <si>
    <t>dodge colt (sw)</t>
  </si>
  <si>
    <t>toyota corolla 1600 (sw)</t>
  </si>
  <si>
    <t>buick century 350</t>
  </si>
  <si>
    <t>chevrolet malibu</t>
  </si>
  <si>
    <t>ford gran torino</t>
  </si>
  <si>
    <t>dodge coronet custom</t>
  </si>
  <si>
    <t>mercury marquis brougham</t>
  </si>
  <si>
    <t>chevrolet caprice classic</t>
  </si>
  <si>
    <t>ford ltd</t>
  </si>
  <si>
    <t>plymouth fury gran sedan</t>
  </si>
  <si>
    <t>chrysler new yorker brougham</t>
  </si>
  <si>
    <t>buick electra 225 custom</t>
  </si>
  <si>
    <t>amc ambassador brougham</t>
  </si>
  <si>
    <t>plymouth valiant</t>
  </si>
  <si>
    <t>chevrolet nova custom</t>
  </si>
  <si>
    <t>volkswagen super beetle</t>
  </si>
  <si>
    <t>ford country</t>
  </si>
  <si>
    <t>plymouth custom suburb</t>
  </si>
  <si>
    <t>oldsmobile vista cruiser</t>
  </si>
  <si>
    <t>toyota carina</t>
  </si>
  <si>
    <t>datsun 610</t>
  </si>
  <si>
    <t>maxda rx3</t>
  </si>
  <si>
    <t>mercury capri v6</t>
  </si>
  <si>
    <t>fiat 124 sport coupe</t>
  </si>
  <si>
    <t>chevrolet monte carlo s</t>
  </si>
  <si>
    <t>pontiac grand prix</t>
  </si>
  <si>
    <t>fiat 128</t>
  </si>
  <si>
    <t>opel manta</t>
  </si>
  <si>
    <t>audi 100ls</t>
  </si>
  <si>
    <t>volvo 144ea</t>
  </si>
  <si>
    <t>dodge dart custom</t>
  </si>
  <si>
    <t>saab 99le</t>
  </si>
  <si>
    <t>toyota mark ii</t>
  </si>
  <si>
    <t>oldsmobile omega</t>
  </si>
  <si>
    <t>chevrolet nova</t>
  </si>
  <si>
    <t>datsun b210</t>
  </si>
  <si>
    <t>chevrolet chevelle malibu classic</t>
  </si>
  <si>
    <t>plymouth satellite sebring</t>
  </si>
  <si>
    <t>buick century luxus (sw)</t>
  </si>
  <si>
    <t>dodge coronet custom (sw)</t>
  </si>
  <si>
    <t>audi fox</t>
  </si>
  <si>
    <t>volkswagen dasher</t>
  </si>
  <si>
    <t>datsun 710</t>
  </si>
  <si>
    <t>dodge colt</t>
  </si>
  <si>
    <t>fiat 124 tc</t>
  </si>
  <si>
    <t>honda civic</t>
  </si>
  <si>
    <t>subaru</t>
  </si>
  <si>
    <t>fiat x1.9</t>
  </si>
  <si>
    <t>plymouth valiant custom</t>
  </si>
  <si>
    <t>mercury monarch</t>
  </si>
  <si>
    <t>chevrolet bel air</t>
  </si>
  <si>
    <t>plymouth grand fury</t>
  </si>
  <si>
    <t>buick century</t>
  </si>
  <si>
    <t>chevroelt chevelle malibu</t>
  </si>
  <si>
    <t>plymouth fury</t>
  </si>
  <si>
    <t>buick skyhawk</t>
  </si>
  <si>
    <t>chevrolet monza 2+2</t>
  </si>
  <si>
    <t>ford mustang ii</t>
  </si>
  <si>
    <t>toyota corolla</t>
  </si>
  <si>
    <t>pontiac astro</t>
  </si>
  <si>
    <t>volkswagen rabbit</t>
  </si>
  <si>
    <t>amc pacer</t>
  </si>
  <si>
    <t>volvo 244dl</t>
  </si>
  <si>
    <t>honda civic cvcc</t>
  </si>
  <si>
    <t>fiat 131</t>
  </si>
  <si>
    <t>capri ii</t>
  </si>
  <si>
    <t>renault 12tl</t>
  </si>
  <si>
    <t>dodge coronet brougham</t>
  </si>
  <si>
    <t>chevrolet chevette</t>
  </si>
  <si>
    <t>chevrolet woody</t>
  </si>
  <si>
    <t>vw rabbit</t>
  </si>
  <si>
    <t>dodge aspen se</t>
  </si>
  <si>
    <t>ford granada ghia</t>
  </si>
  <si>
    <t>pontiac ventura sj</t>
  </si>
  <si>
    <t>amc pacer d/l</t>
  </si>
  <si>
    <t>datsun b-210</t>
  </si>
  <si>
    <t>volvo 245</t>
  </si>
  <si>
    <t>plymouth volare premier v8</t>
  </si>
  <si>
    <t>mercedes-benz 280s</t>
  </si>
  <si>
    <t>cadillac seville</t>
  </si>
  <si>
    <t>chevy c10</t>
  </si>
  <si>
    <t>ford f108</t>
  </si>
  <si>
    <t>dodge d100</t>
  </si>
  <si>
    <t>honda accord cvcc</t>
  </si>
  <si>
    <t>buick opel isuzu deluxe</t>
  </si>
  <si>
    <t>renault 5 gtl</t>
  </si>
  <si>
    <t>plymouth arrow gs</t>
  </si>
  <si>
    <t>datsun f-10 hatchback</t>
  </si>
  <si>
    <t>oldsmobile cutlass supreme</t>
  </si>
  <si>
    <t>dodge monaco brougham</t>
  </si>
  <si>
    <t>mercury cougar brougham</t>
  </si>
  <si>
    <t>chevrolet concours</t>
  </si>
  <si>
    <t>buick skylark</t>
  </si>
  <si>
    <t>plymouth volare custom</t>
  </si>
  <si>
    <t>ford granada</t>
  </si>
  <si>
    <t>pontiac grand prix lj</t>
  </si>
  <si>
    <t>chevrolet monte carlo landau</t>
  </si>
  <si>
    <t>chrysler cordoba</t>
  </si>
  <si>
    <t>ford thunderbird</t>
  </si>
  <si>
    <t>volkswagen rabbit custom</t>
  </si>
  <si>
    <t>pontiac sunbird coupe</t>
  </si>
  <si>
    <t>toyota corolla liftback</t>
  </si>
  <si>
    <t>ford mustang ii 2+2</t>
  </si>
  <si>
    <t>dodge colt m/m</t>
  </si>
  <si>
    <t>subaru dl</t>
  </si>
  <si>
    <t>datsun 810</t>
  </si>
  <si>
    <t>bmw 320i</t>
  </si>
  <si>
    <t>mazda rx-4</t>
  </si>
  <si>
    <t>volkswagen rabbit custom diesel</t>
  </si>
  <si>
    <t>ford fiesta</t>
  </si>
  <si>
    <t>mazda glc deluxe</t>
  </si>
  <si>
    <t>datsun b210 gx</t>
  </si>
  <si>
    <t>oldsmobile cutlass salon brougham</t>
  </si>
  <si>
    <t>dodge diplomat</t>
  </si>
  <si>
    <t>mercury monarch ghia</t>
  </si>
  <si>
    <t>pontiac phoenix lj</t>
  </si>
  <si>
    <t>ford fairmont (auto)</t>
  </si>
  <si>
    <t>ford fairmont (man)</t>
  </si>
  <si>
    <t>plymouth volare</t>
  </si>
  <si>
    <t>amc concord</t>
  </si>
  <si>
    <t>buick century special</t>
  </si>
  <si>
    <t>mercury zephyr</t>
  </si>
  <si>
    <t>dodge aspen</t>
  </si>
  <si>
    <t>amc concord d/l</t>
  </si>
  <si>
    <t>buick regal sport coupe (turbo)</t>
  </si>
  <si>
    <t>ford futura</t>
  </si>
  <si>
    <t>dodge magnum xe</t>
  </si>
  <si>
    <t>datsun 510</t>
  </si>
  <si>
    <t>dodge omni</t>
  </si>
  <si>
    <t>toyota celica gt liftback</t>
  </si>
  <si>
    <t>plymouth sapporo</t>
  </si>
  <si>
    <t>oldsmobile starfire sx</t>
  </si>
  <si>
    <t>datsun 200-sx</t>
  </si>
  <si>
    <t>audi 5000</t>
  </si>
  <si>
    <t>volvo 264gl</t>
  </si>
  <si>
    <t>saab 99gle</t>
  </si>
  <si>
    <t>peugeot 604sl</t>
  </si>
  <si>
    <t>volkswagen scirocco</t>
  </si>
  <si>
    <t>honda accord lx</t>
  </si>
  <si>
    <t>pontiac lemans v6</t>
  </si>
  <si>
    <t>mercury zephyr 6</t>
  </si>
  <si>
    <t>ford fairmont 4</t>
  </si>
  <si>
    <t>amc concord dl 6</t>
  </si>
  <si>
    <t>dodge aspen 6</t>
  </si>
  <si>
    <t>ford ltd landau</t>
  </si>
  <si>
    <t>mercury grand marquis</t>
  </si>
  <si>
    <t>dodge st. regis</t>
  </si>
  <si>
    <t>chevrolet malibu classic (sw)</t>
  </si>
  <si>
    <t>chrysler lebaron town @ country (sw)</t>
  </si>
  <si>
    <t>vw rabbit custom</t>
  </si>
  <si>
    <t>maxda glc deluxe</t>
  </si>
  <si>
    <t>dodge colt hatchback custom</t>
  </si>
  <si>
    <t>amc spirit dl</t>
  </si>
  <si>
    <t>mercedes benz 300d</t>
  </si>
  <si>
    <t>cadillac eldorado</t>
  </si>
  <si>
    <t>plymouth horizon</t>
  </si>
  <si>
    <t>plymouth horizon tc3</t>
  </si>
  <si>
    <t>datsun 210</t>
  </si>
  <si>
    <t>fiat strada custom</t>
  </si>
  <si>
    <t>buick skylark limited</t>
  </si>
  <si>
    <t>chevrolet citation</t>
  </si>
  <si>
    <t>oldsmobile omega brougham</t>
  </si>
  <si>
    <t>pontiac phoenix</t>
  </si>
  <si>
    <t>toyota corolla tercel</t>
  </si>
  <si>
    <t>datsun 310</t>
  </si>
  <si>
    <t>ford fairmont</t>
  </si>
  <si>
    <t>audi 4000</t>
  </si>
  <si>
    <t>toyota corona liftback</t>
  </si>
  <si>
    <t>mazda 626</t>
  </si>
  <si>
    <t>datsun 510 hatchback</t>
  </si>
  <si>
    <t>mazda glc</t>
  </si>
  <si>
    <t>vw rabbit c (diesel)</t>
  </si>
  <si>
    <t>vw dasher (diesel)</t>
  </si>
  <si>
    <t>audi 5000s (diesel)</t>
  </si>
  <si>
    <t>mercedes-benz 240d</t>
  </si>
  <si>
    <t>honda civic 1500 gl</t>
  </si>
  <si>
    <t>renault lecar deluxe</t>
  </si>
  <si>
    <t>vokswagen rabbit</t>
  </si>
  <si>
    <t>datsun 280-zx</t>
  </si>
  <si>
    <t>mazda rx-7 gs</t>
  </si>
  <si>
    <t>triumph tr7 coupe</t>
  </si>
  <si>
    <t>ford mustang cobra</t>
  </si>
  <si>
    <t>honda accord</t>
  </si>
  <si>
    <t>plymouth reliant</t>
  </si>
  <si>
    <t>dodge aries wagon (sw)</t>
  </si>
  <si>
    <t>toyota starlet</t>
  </si>
  <si>
    <t>plymouth champ</t>
  </si>
  <si>
    <t>honda civic 1300</t>
  </si>
  <si>
    <t>datsun 210 mpg</t>
  </si>
  <si>
    <t>toyota tercel</t>
  </si>
  <si>
    <t>mazda glc 4</t>
  </si>
  <si>
    <t>plymouth horizon 4</t>
  </si>
  <si>
    <t>ford escort 4w</t>
  </si>
  <si>
    <t>ford escort 2h</t>
  </si>
  <si>
    <t>volkswagen jetta</t>
  </si>
  <si>
    <t>renault 18i</t>
  </si>
  <si>
    <t>honda prelude</t>
  </si>
  <si>
    <t>datsun 200sx</t>
  </si>
  <si>
    <t>peugeot 505s turbo diesel</t>
  </si>
  <si>
    <t>volvo diesel</t>
  </si>
  <si>
    <t>toyota cressida</t>
  </si>
  <si>
    <t>datsun 810 maxima</t>
  </si>
  <si>
    <t>oldsmobile cutlass ls</t>
  </si>
  <si>
    <t>ford granada gl</t>
  </si>
  <si>
    <t>chrysler lebaron salon</t>
  </si>
  <si>
    <t>chevrolet cavalier</t>
  </si>
  <si>
    <t>chevrolet cavalier wagon</t>
  </si>
  <si>
    <t>chevrolet cavalier 2-door</t>
  </si>
  <si>
    <t>pontiac j2000 se hatchback</t>
  </si>
  <si>
    <t>dodge aries se</t>
  </si>
  <si>
    <t>ford fairmont futura</t>
  </si>
  <si>
    <t>amc concord dl</t>
  </si>
  <si>
    <t>volkswagen rabbit l</t>
  </si>
  <si>
    <t>mazda glc custom l</t>
  </si>
  <si>
    <t>mazda glc custom</t>
  </si>
  <si>
    <t>plymouth horizon miser</t>
  </si>
  <si>
    <t>mercury lynx l</t>
  </si>
  <si>
    <t>nissan stanza xe</t>
  </si>
  <si>
    <t>honda civic (auto)</t>
  </si>
  <si>
    <t>datsun 310 gx</t>
  </si>
  <si>
    <t>buick century limited</t>
  </si>
  <si>
    <t>oldsmobile cutlass ciera (diesel)</t>
  </si>
  <si>
    <t>chrysler lebaron medallion</t>
  </si>
  <si>
    <t>ford granada l</t>
  </si>
  <si>
    <t>toyota celica gt</t>
  </si>
  <si>
    <t>dodge charger 2.2</t>
  </si>
  <si>
    <t>chevrolet camaro</t>
  </si>
  <si>
    <t>ford mustang gl</t>
  </si>
  <si>
    <t>vw pickup</t>
  </si>
  <si>
    <t>dodge rampage</t>
  </si>
  <si>
    <t>ford ranger</t>
  </si>
  <si>
    <t>chevy s-10</t>
  </si>
  <si>
    <t>Package</t>
  </si>
  <si>
    <t>Script</t>
  </si>
  <si>
    <t>Evaluate</t>
  </si>
  <si>
    <t>pastecs</t>
  </si>
  <si>
    <t>summarytools</t>
  </si>
  <si>
    <t>Evaluation</t>
  </si>
  <si>
    <t># Create a data frame</t>
  </si>
  <si>
    <t>n/a</t>
  </si>
  <si>
    <t># Summarize</t>
  </si>
  <si>
    <t>stat.desc(mpg, norm=TRUE)</t>
  </si>
  <si>
    <t># Histogram</t>
  </si>
  <si>
    <t>hist(mpg$mpg)</t>
  </si>
  <si>
    <t>xlab</t>
  </si>
  <si>
    <t>ylab</t>
  </si>
  <si>
    <t>main</t>
  </si>
  <si>
    <t>breaks</t>
  </si>
  <si>
    <t>Scott</t>
  </si>
  <si>
    <t>Sturges</t>
  </si>
  <si>
    <t>Function</t>
  </si>
  <si>
    <t>hist</t>
  </si>
  <si>
    <t>Freedman-Diaconis</t>
  </si>
  <si>
    <t>Parameters</t>
  </si>
  <si>
    <t>x</t>
  </si>
  <si>
    <t>MPG</t>
  </si>
  <si>
    <t>Count</t>
  </si>
  <si>
    <t>Distribution of MPG</t>
  </si>
  <si>
    <t>^mpg$mpg</t>
  </si>
  <si>
    <t>ggplot2 histogram plot : Quick start guide - R software and data visualization - Easy Guides - Wiki - STHDA</t>
  </si>
  <si>
    <t># Basic histogram</t>
  </si>
  <si>
    <t xml:space="preserve">plot(
     ggplot(mpg, aes(x=mpg)) + 
     geom_histogram(color="darkblue", fill="lightblue", binwidth=1) + 
     geom_density(fill="#FF6666")
) </t>
  </si>
  <si>
    <t xml:space="preserve">plot(
     ggplot(mpg, aes(x=horsepower)) + 
     geom_histogram(color="darkblue", fill="lightblue", binwidth=50) + 
     geom_density(fill="#FF6666")
) </t>
  </si>
  <si>
    <t>plot(
ggplot(data = mpg, aes(x = weight)) + _x000D_
geom_density() + _x000D_
	labs(title = 'Distribution of Weight') + _x000D_
theme_classic()
)</t>
  </si>
  <si>
    <t># Boxplot</t>
  </si>
  <si>
    <t>boxplot(mpg$mpg ~ mpg$origin)</t>
  </si>
  <si>
    <t>formula</t>
  </si>
  <si>
    <t>data</t>
  </si>
  <si>
    <t>na.action</t>
  </si>
  <si>
    <t>add</t>
  </si>
  <si>
    <t>ann</t>
  </si>
  <si>
    <t>horizontal</t>
  </si>
  <si>
    <t>drop</t>
  </si>
  <si>
    <t>sep</t>
  </si>
  <si>
    <t>lex.order</t>
  </si>
  <si>
    <t>boxplot</t>
  </si>
  <si>
    <t>b</t>
  </si>
  <si>
    <t>^mpg ~ origin</t>
  </si>
  <si>
    <t>^mpg</t>
  </si>
  <si>
    <t>Origin</t>
  </si>
  <si>
    <t>outline</t>
  </si>
  <si>
    <t>Correlation matrix : A quick start guide to analyze, format and visualize a correlation matrix using R software - Easy Guides - Wiki - STHDA</t>
  </si>
  <si>
    <t># Correlation matrix</t>
  </si>
  <si>
    <t>mat &lt;- mpg[, c(1,2,3,4,5)]</t>
  </si>
  <si>
    <t>res &lt;- cor(mat)</t>
  </si>
  <si>
    <t>corrplot</t>
  </si>
  <si>
    <t>corrplot(res, type = "upper", order = "hclust", 
         tl.col = "black", tl.srt = 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</si>
</sst>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
    <numFmt numFmtId="166" formatCode="0.0000"/>
  </numFmts>
  <fonts count="5" x14ac:knownFonts="1">
    <font>
      <sz val="11"/>
      <color theme="1"/>
      <name val="Aptos Narrow"/>
      <family val="2"/>
      <scheme val="minor"/>
    </font>
    <font>
      <b/>
      <sz val="11"/>
      <color theme="1"/>
      <name val="Aptos Narrow"/>
      <family val="2"/>
      <scheme val="minor"/>
    </font>
    <font>
      <u/>
      <sz val="11"/>
      <color theme="10"/>
      <name val="Aptos Narrow"/>
      <family val="2"/>
      <scheme val="minor"/>
    </font>
    <font>
      <sz val="9"/>
      <color indexed="81"/>
      <name val="Tahoma"/>
      <family val="2"/>
    </font>
    <font>
      <b/>
      <sz val="9"/>
      <color indexed="81"/>
      <name val="Tahoma"/>
      <family val="2"/>
    </font>
  </fonts>
  <fills count="4">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5">
    <xf numFmtId="0" fontId="0" fillId="0" borderId="0" xfId="0"/>
    <xf numFmtId="0" fontId="1" fillId="2" borderId="0" xfId="0" applyFont="1" applyFill="1"/>
    <xf numFmtId="0" fontId="2" fillId="0" borderId="0" xfId="1"/>
    <xf numFmtId="2" fontId="0" fillId="0" borderId="0" xfId="0" applyNumberFormat="1"/>
    <xf numFmtId="164" fontId="0" fillId="0" borderId="0" xfId="0" applyNumberFormat="1"/>
    <xf numFmtId="1" fontId="0" fillId="0" borderId="0" xfId="0" applyNumberFormat="1"/>
    <xf numFmtId="49" fontId="0" fillId="0" borderId="0" xfId="0" applyNumberFormat="1"/>
    <xf numFmtId="0" fontId="0" fillId="3" borderId="0" xfId="0" applyFill="1"/>
    <xf numFmtId="165" fontId="0" fillId="3" borderId="0" xfId="0" applyNumberFormat="1" applyFill="1"/>
    <xf numFmtId="0" fontId="0" fillId="0" borderId="0" xfId="0" quotePrefix="1"/>
    <xf numFmtId="0" fontId="0" fillId="0" borderId="0" xfId="0" applyAlignment="1">
      <alignment wrapText="1"/>
    </xf>
    <xf numFmtId="166" fontId="0" fillId="3" borderId="0" xfId="0" applyNumberFormat="1" applyFill="1"/>
    <xf numFmtId="1" fontId="0" fillId="3" borderId="0" xfId="0" applyNumberFormat="1" applyFill="1"/>
    <xf numFmtId="0" fontId="1" fillId="3" borderId="0" xfId="0" applyFont="1" applyFill="1"/>
    <xf numFmtId="0" fontId="1" fillId="2" borderId="0" xfId="0" applyFont="1" applyFill="1" applyAlignment="1">
      <alignment horizontal="center"/>
    </xf>
  </cellXfs>
  <cellStyles count="2">
    <cellStyle name="Hyperlink" xfId="1" builtinId="8"/>
    <cellStyle name="Normal" xfId="0" builtinId="0"/>
  </cellStyles>
  <dxfs count="18">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numFmt numFmtId="0" formatCode="General"/>
    </dxf>
    <dxf>
      <numFmt numFmtId="0" formatCode="General"/>
    </dxf>
    <dxf>
      <numFmt numFmtId="30" formatCode="@"/>
    </dxf>
    <dxf>
      <numFmt numFmtId="30" formatCode="@"/>
    </dxf>
    <dxf>
      <numFmt numFmtId="1" formatCode="0"/>
    </dxf>
    <dxf>
      <numFmt numFmtId="164" formatCode="0.0"/>
    </dxf>
    <dxf>
      <numFmt numFmtId="1" formatCode="0"/>
    </dxf>
    <dxf>
      <numFmt numFmtId="1" formatCode="0"/>
    </dxf>
    <dxf>
      <numFmt numFmtId="1" formatCode="0"/>
    </dxf>
    <dxf>
      <numFmt numFmtId="1" formatCode="0"/>
    </dxf>
    <dxf>
      <numFmt numFmtId="1" formatCode="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 Id="rId14" Type="http://schemas.openxmlformats.org/officeDocument/2006/relationships/customXml" Target="../customXml/item1.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txData>
          <cx:v>MPG</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MPG</a:t>
          </a:r>
        </a:p>
      </cx:txPr>
    </cx:title>
    <cx:plotArea>
      <cx:plotAreaRegion>
        <cx:series layoutId="clusteredColumn" uniqueId="{05083F14-88ED-440D-99EF-BBD26C67E99C}">
          <cx:dataId val="0"/>
          <cx:layoutPr>
            <cx:binning intervalClosed="r"/>
          </cx:layoutPr>
        </cx:series>
      </cx:plotAreaRegion>
      <cx:axis id="0">
        <cx:catScaling gapWidth="0"/>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emf"/><Relationship Id="rId2" Type="http://schemas.openxmlformats.org/officeDocument/2006/relationships/image" Target="../media/image1.emf"/><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image" Target="../media/image3.emf"/></Relationships>
</file>

<file path=xl/drawings/_rels/drawing3.x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198120</xdr:colOff>
      <xdr:row>1</xdr:row>
      <xdr:rowOff>72390</xdr:rowOff>
    </xdr:from>
    <xdr:to>
      <xdr:col>11</xdr:col>
      <xdr:colOff>502920</xdr:colOff>
      <xdr:row>16</xdr:row>
      <xdr:rowOff>72390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12C73654-336B-0A8A-A1FD-33E58F0E2F0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263640" y="255270"/>
              <a:ext cx="4572000" cy="27432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12</xdr:col>
      <xdr:colOff>281940</xdr:colOff>
      <xdr:row>0</xdr:row>
      <xdr:rowOff>160020</xdr:rowOff>
    </xdr:from>
    <xdr:to>
      <xdr:col>18</xdr:col>
      <xdr:colOff>190500</xdr:colOff>
      <xdr:row>20</xdr:row>
      <xdr:rowOff>68580</xdr:rowOff>
    </xdr:to>
    <xdr:pic>
      <xdr:nvPicPr>
        <xdr:cNvPr id="3" name="Picture 2">
          <a:extLst>
            <a:ext uri="{FF2B5EF4-FFF2-40B4-BE49-F238E27FC236}">
              <a16:creationId xmlns:a16="http://schemas.microsoft.com/office/drawing/2014/main" id="{23B0E9BC-8DB0-5594-BF09-2B4D125FB95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456420" y="160020"/>
          <a:ext cx="3566160" cy="3566160"/>
        </a:xfrm>
        <a:prstGeom prst="rect">
          <a:avLst/>
        </a:prstGeom>
        <a:solidFill>
          <a:schemeClr val="bg1"/>
        </a:solidFill>
      </xdr:spPr>
    </xdr:pic>
    <xdr:clientData/>
  </xdr:twoCellAnchor>
  <xdr:twoCellAnchor editAs="oneCell">
    <xdr:from>
      <xdr:col>4</xdr:col>
      <xdr:colOff>91440</xdr:colOff>
      <xdr:row>36</xdr:row>
      <xdr:rowOff>281940</xdr:rowOff>
    </xdr:from>
    <xdr:to>
      <xdr:col>7</xdr:col>
      <xdr:colOff>68580</xdr:colOff>
      <xdr:row>42</xdr:row>
      <xdr:rowOff>76200</xdr:rowOff>
    </xdr:to>
    <xdr:pic>
      <xdr:nvPicPr>
        <xdr:cNvPr id="4" name="Picture 3">
          <a:extLst>
            <a:ext uri="{FF2B5EF4-FFF2-40B4-BE49-F238E27FC236}">
              <a16:creationId xmlns:a16="http://schemas.microsoft.com/office/drawing/2014/main" id="{728F4B9A-BB3C-0831-00AB-57146EE7F19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156960" y="8328660"/>
          <a:ext cx="1805940" cy="18059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7620</xdr:colOff>
      <xdr:row>1</xdr:row>
      <xdr:rowOff>38100</xdr:rowOff>
    </xdr:from>
    <xdr:to>
      <xdr:col>10</xdr:col>
      <xdr:colOff>198120</xdr:colOff>
      <xdr:row>18</xdr:row>
      <xdr:rowOff>167640</xdr:rowOff>
    </xdr:to>
    <xdr:pic>
      <xdr:nvPicPr>
        <xdr:cNvPr id="2" name="Picture 1">
          <a:extLst>
            <a:ext uri="{FF2B5EF4-FFF2-40B4-BE49-F238E27FC236}">
              <a16:creationId xmlns:a16="http://schemas.microsoft.com/office/drawing/2014/main" id="{0F7F4712-0122-3A8E-2289-B592E25627C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32020" y="220980"/>
          <a:ext cx="3238500" cy="3238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152400</xdr:colOff>
      <xdr:row>12</xdr:row>
      <xdr:rowOff>137160</xdr:rowOff>
    </xdr:from>
    <xdr:to>
      <xdr:col>10</xdr:col>
      <xdr:colOff>426720</xdr:colOff>
      <xdr:row>30</xdr:row>
      <xdr:rowOff>144780</xdr:rowOff>
    </xdr:to>
    <xdr:pic>
      <xdr:nvPicPr>
        <xdr:cNvPr id="3" name="Picture 2">
          <a:extLst>
            <a:ext uri="{FF2B5EF4-FFF2-40B4-BE49-F238E27FC236}">
              <a16:creationId xmlns:a16="http://schemas.microsoft.com/office/drawing/2014/main" id="{A6960FF2-C5B0-1398-2A49-AC6D4BC1BB2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71160" y="2331720"/>
          <a:ext cx="3482340" cy="34823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4B3F40E-6B9E-4CF9-8B86-3321D728088B}" autoFormatId="16" applyNumberFormats="0" applyBorderFormats="0" applyFontFormats="0" applyPatternFormats="0" applyAlignmentFormats="0" applyWidthHeightFormats="0">
  <queryTableRefresh nextId="10">
    <queryTableFields count="9">
      <queryTableField id="1" name="mpg" tableColumnId="1"/>
      <queryTableField id="2" name="cylinders" tableColumnId="2"/>
      <queryTableField id="3" name="displacement" tableColumnId="3"/>
      <queryTableField id="4" name="horsepower" tableColumnId="4"/>
      <queryTableField id="5" name="weight" tableColumnId="5"/>
      <queryTableField id="6" name="acceleration" tableColumnId="6"/>
      <queryTableField id="7" name="model_year" tableColumnId="7"/>
      <queryTableField id="8" name="origin" tableColumnId="8"/>
      <queryTableField id="9" name="name" tableColumnId="9"/>
    </queryTableFields>
  </queryTableRefresh>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3DC64CD-4B15-405C-BEBC-2233E1694149}" name="tMPG" displayName="tMPG" ref="B2:J400" totalsRowShown="0" headerRowDxfId="17">
  <autoFilter ref="B2:J400" xr:uid="{13DC64CD-4B15-405C-BEBC-2233E1694149}"/>
  <tableColumns count="9">
    <tableColumn id="1" xr3:uid="{483D647E-C9BC-48A5-B3F8-94CD3A71F758}" name="mpg" dataDxfId="16"/>
    <tableColumn id="2" xr3:uid="{55E7DB45-E1A9-4039-A098-A43173200C69}" name="cylinders" dataDxfId="15"/>
    <tableColumn id="3" xr3:uid="{BE0B9E69-A0AE-49B3-808E-97377F9941AF}" name="displacement" dataDxfId="14"/>
    <tableColumn id="4" xr3:uid="{D325F481-D6AA-44B5-985F-BEF1C3751FE3}" name="horsepower" dataDxfId="13"/>
    <tableColumn id="5" xr3:uid="{DE57796C-6328-4043-A031-9FEF21DC18C5}" name="weight" dataDxfId="12"/>
    <tableColumn id="6" xr3:uid="{AE2DC0B7-33A2-4CF3-8EDD-CEAD933C889F}" name="acceleration" dataDxfId="11"/>
    <tableColumn id="7" xr3:uid="{E3D48FD3-A8FF-450A-9F5E-CC7A47EAAF51}" name="model_year" dataDxfId="10"/>
    <tableColumn id="8" xr3:uid="{722899BB-AA86-451B-899B-AA12359DC2AD}" name="origin" dataDxfId="9"/>
    <tableColumn id="9" xr3:uid="{C98CFA4A-5217-461B-9F6F-5DBF3D9259D7}" name="name" dataDxfId="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66B2402-5E38-4D53-A3FF-91AD14BF9509}" name="tMPG_1" displayName="tMPG_1" ref="L2:T394" tableType="queryTable" totalsRowShown="0">
  <autoFilter ref="L2:T394" xr:uid="{566B2402-5E38-4D53-A3FF-91AD14BF9509}"/>
  <tableColumns count="9">
    <tableColumn id="1" xr3:uid="{E12652F6-7243-4A68-B531-EB8FAC5B0B3D}" uniqueName="1" name="mpg" queryTableFieldId="1"/>
    <tableColumn id="2" xr3:uid="{4B743CF8-66DE-4CF3-A859-5BC218ACC0A3}" uniqueName="2" name="cylinders" queryTableFieldId="2"/>
    <tableColumn id="3" xr3:uid="{7A65EC36-903D-43F4-B2F5-389BF90A35FC}" uniqueName="3" name="displacement" queryTableFieldId="3"/>
    <tableColumn id="4" xr3:uid="{5AA1FA31-77BB-4397-B2A2-1F01893376C8}" uniqueName="4" name="horsepower" queryTableFieldId="4"/>
    <tableColumn id="5" xr3:uid="{8510D8E9-887D-4493-BBDD-378B66F85815}" uniqueName="5" name="weight" queryTableFieldId="5"/>
    <tableColumn id="6" xr3:uid="{A50683EF-4CDE-4555-8D5B-FC2A725E63D4}" uniqueName="6" name="acceleration" queryTableFieldId="6"/>
    <tableColumn id="7" xr3:uid="{B28975D9-48BC-4961-B5E9-AE012B5D3A3B}" uniqueName="7" name="model_year" queryTableFieldId="7"/>
    <tableColumn id="8" xr3:uid="{5968B55D-F9AF-4C75-822A-793291508007}" uniqueName="8" name="origin" queryTableFieldId="8" dataDxfId="7"/>
    <tableColumn id="9" xr3:uid="{11874A4D-5E5F-402F-903C-92F64C6623B1}" uniqueName="9" name="name" queryTableFieldId="9" dataDxfId="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sthda.com/english/wiki/correlation-matrix-a-quick-start-guide-to-analyze-format-and-visualize-a-correlation-matrix-using-r-software" TargetMode="External"/><Relationship Id="rId2" Type="http://schemas.openxmlformats.org/officeDocument/2006/relationships/hyperlink" Target="https://www.sthda.com/english/wiki/ggplot2-histogram-plot-quick-start-guide-r-software-and-data-visualization" TargetMode="External"/><Relationship Id="rId1" Type="http://schemas.openxmlformats.org/officeDocument/2006/relationships/hyperlink" Target="https://stringfestanalytics.com/copilot-for-excel-how-to-do-exploratory-data-analysis-with-python/" TargetMode="Externa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vmlDrawing" Target="../drawings/vmlDrawing1.vml"/><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8DCD4-F3C3-4C27-B611-D64603BBA5E7}">
  <sheetPr>
    <tabColor theme="0" tint="-0.249977111117893"/>
  </sheetPr>
  <dimension ref="B2:B5"/>
  <sheetViews>
    <sheetView workbookViewId="0">
      <selection activeCell="B6" sqref="B6"/>
    </sheetView>
  </sheetViews>
  <sheetFormatPr defaultRowHeight="14.4" x14ac:dyDescent="0.3"/>
  <cols>
    <col min="2" max="2" width="69.88671875" bestFit="1" customWidth="1"/>
  </cols>
  <sheetData>
    <row r="2" spans="2:2" x14ac:dyDescent="0.3">
      <c r="B2" s="1" t="s">
        <v>0</v>
      </c>
    </row>
    <row r="3" spans="2:2" x14ac:dyDescent="0.3">
      <c r="B3" s="2" t="s">
        <v>2</v>
      </c>
    </row>
    <row r="4" spans="2:2" x14ac:dyDescent="0.3">
      <c r="B4" s="2" t="s">
        <v>347</v>
      </c>
    </row>
    <row r="5" spans="2:2" x14ac:dyDescent="0.3">
      <c r="B5" s="2" t="s">
        <v>369</v>
      </c>
    </row>
  </sheetData>
  <hyperlinks>
    <hyperlink ref="B3" r:id="rId1" display="https://stringfestanalytics.com/copilot-for-excel-how-to-do-exploratory-data-analysis-with-python/" xr:uid="{86791C30-57DC-4C05-998C-3C84A4FA68A1}"/>
    <hyperlink ref="B4" r:id="rId2" location="google_vignette" display="https://www.sthda.com/english/wiki/ggplot2-histogram-plot-quick-start-guide-r-software-and-data-visualization - google_vignette" xr:uid="{E5F33C0A-C0CD-4382-9895-C063CA5C1320}"/>
    <hyperlink ref="B5" r:id="rId3" display="https://www.sthda.com/english/wiki/correlation-matrix-a-quick-start-guide-to-analyze-format-and-visualize-a-correlation-matrix-using-r-software" xr:uid="{E0BCCAF6-4E98-4CD7-9914-2FC2C29DF037}"/>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A40DD-D99B-43E4-A33E-A719BEB87B1B}">
  <sheetPr>
    <tabColor theme="0" tint="-0.249977111117893"/>
  </sheetPr>
  <dimension ref="B2:E6"/>
  <sheetViews>
    <sheetView workbookViewId="0">
      <selection activeCell="E7" sqref="E7"/>
    </sheetView>
  </sheetViews>
  <sheetFormatPr defaultRowHeight="14.4" x14ac:dyDescent="0.3"/>
  <cols>
    <col min="2" max="2" width="27" customWidth="1"/>
    <col min="3" max="3" width="18.6640625" bestFit="1" customWidth="1"/>
  </cols>
  <sheetData>
    <row r="2" spans="2:5" x14ac:dyDescent="0.3">
      <c r="B2" s="1" t="s">
        <v>1</v>
      </c>
    </row>
    <row r="3" spans="2:5" x14ac:dyDescent="0.3">
      <c r="B3" s="1" t="s">
        <v>320</v>
      </c>
      <c r="C3" s="1" t="s">
        <v>321</v>
      </c>
      <c r="E3" s="1" t="s">
        <v>322</v>
      </c>
    </row>
    <row r="4" spans="2:5" x14ac:dyDescent="0.3">
      <c r="B4" t="s">
        <v>323</v>
      </c>
      <c r="C4" t="str">
        <f>"library("&amp;B4&amp;")"</f>
        <v>library(pastecs)</v>
      </c>
      <c r="E4" t="str" cm="1">
        <f t="array" ref="E4">_xll.RScript.Evaluate(C4, TRUE)</f>
        <v>OK</v>
      </c>
    </row>
    <row r="5" spans="2:5" x14ac:dyDescent="0.3">
      <c r="B5" t="s">
        <v>324</v>
      </c>
      <c r="C5" t="str">
        <f>"library("&amp;B5&amp;")"</f>
        <v>library(summarytools)</v>
      </c>
      <c r="E5" t="str" cm="1">
        <f t="array" ref="E5">_xll.RScript.Evaluate(C5, TRUE)</f>
        <v>OK</v>
      </c>
    </row>
    <row r="6" spans="2:5" x14ac:dyDescent="0.3">
      <c r="B6" t="s">
        <v>373</v>
      </c>
      <c r="C6" t="str">
        <f>"library("&amp;B6&amp;")"</f>
        <v>library(corrplot)</v>
      </c>
      <c r="E6" t="str" cm="1">
        <f t="array" ref="E6">_xll.RScript.Evaluate(C6, TRUE)</f>
        <v>OK</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E9EF21-8D1A-4E97-89CE-A93B9E1A3A7B}">
  <sheetPr>
    <tabColor theme="4" tint="0.79998168889431442"/>
  </sheetPr>
  <dimension ref="A1:T400"/>
  <sheetViews>
    <sheetView workbookViewId="0">
      <selection activeCell="A2" sqref="A2"/>
    </sheetView>
  </sheetViews>
  <sheetFormatPr defaultRowHeight="14.4" x14ac:dyDescent="0.3"/>
  <cols>
    <col min="3" max="3" width="10.5546875" customWidth="1"/>
    <col min="4" max="4" width="14.44140625" customWidth="1"/>
    <col min="5" max="5" width="12.5546875" customWidth="1"/>
    <col min="7" max="7" width="13.33203125" customWidth="1"/>
    <col min="8" max="8" width="12.5546875" customWidth="1"/>
    <col min="10" max="10" width="30.6640625" bestFit="1" customWidth="1"/>
  </cols>
  <sheetData>
    <row r="1" spans="1:20" x14ac:dyDescent="0.3"/>
    <row r="2" spans="1:20" x14ac:dyDescent="0.3">
      <c r="B2" s="3" t="s">
        <v>3</v>
      </c>
      <c r="C2" s="3" t="s">
        <v>4</v>
      </c>
      <c r="D2" s="3" t="s">
        <v>5</v>
      </c>
      <c r="E2" s="3" t="s">
        <v>6</v>
      </c>
      <c r="F2" s="3" t="s">
        <v>7</v>
      </c>
      <c r="G2" s="3" t="s">
        <v>8</v>
      </c>
      <c r="H2" s="3" t="s">
        <v>9</v>
      </c>
      <c r="I2" s="6" t="s">
        <v>10</v>
      </c>
      <c r="J2" s="6" t="s">
        <v>11</v>
      </c>
      <c r="L2" t="s">
        <v>3</v>
      </c>
      <c r="M2" t="s">
        <v>4</v>
      </c>
      <c r="N2" t="s">
        <v>5</v>
      </c>
      <c r="O2" t="s">
        <v>6</v>
      </c>
      <c r="P2" t="s">
        <v>7</v>
      </c>
      <c r="Q2" t="s">
        <v>8</v>
      </c>
      <c r="R2" t="s">
        <v>9</v>
      </c>
      <c r="S2" t="s">
        <v>10</v>
      </c>
      <c r="T2" t="s">
        <v>11</v>
      </c>
    </row>
    <row r="3" spans="1:20" x14ac:dyDescent="0.3">
      <c r="B3" s="5">
        <v>18</v>
      </c>
      <c r="C3" s="5">
        <v>8</v>
      </c>
      <c r="D3" s="5">
        <v>307</v>
      </c>
      <c r="E3" s="5">
        <v>130</v>
      </c>
      <c r="F3" s="5">
        <v>3504</v>
      </c>
      <c r="G3" s="4">
        <v>12</v>
      </c>
      <c r="H3" s="5">
        <v>70</v>
      </c>
      <c r="I3" s="6" t="s">
        <v>12</v>
      </c>
      <c r="J3" s="6" t="s">
        <v>13</v>
      </c>
      <c r="L3">
        <v>18</v>
      </c>
      <c r="M3">
        <v>8</v>
      </c>
      <c r="N3">
        <v>307</v>
      </c>
      <c r="O3">
        <v>130</v>
      </c>
      <c r="P3">
        <v>3504</v>
      </c>
      <c r="Q3">
        <v>12</v>
      </c>
      <c r="R3">
        <v>70</v>
      </c>
      <c r="S3" t="s">
        <v>12</v>
      </c>
      <c r="T3" t="s">
        <v>13</v>
      </c>
    </row>
    <row r="4" spans="1:20" x14ac:dyDescent="0.3">
      <c r="B4" s="5">
        <v>15</v>
      </c>
      <c r="C4" s="5">
        <v>8</v>
      </c>
      <c r="D4" s="5">
        <v>350</v>
      </c>
      <c r="E4" s="5">
        <v>165</v>
      </c>
      <c r="F4" s="5">
        <v>3693</v>
      </c>
      <c r="G4" s="4">
        <v>11.5</v>
      </c>
      <c r="H4" s="5">
        <v>70</v>
      </c>
      <c r="I4" s="6" t="s">
        <v>12</v>
      </c>
      <c r="J4" s="6" t="s">
        <v>14</v>
      </c>
      <c r="L4">
        <v>15</v>
      </c>
      <c r="M4">
        <v>8</v>
      </c>
      <c r="N4">
        <v>350</v>
      </c>
      <c r="O4">
        <v>165</v>
      </c>
      <c r="P4">
        <v>3693</v>
      </c>
      <c r="Q4">
        <v>11.5</v>
      </c>
      <c r="R4">
        <v>70</v>
      </c>
      <c r="S4" t="s">
        <v>12</v>
      </c>
      <c r="T4" t="s">
        <v>14</v>
      </c>
    </row>
    <row r="5" spans="1:20" x14ac:dyDescent="0.3">
      <c r="B5" s="5">
        <v>18</v>
      </c>
      <c r="C5" s="5">
        <v>8</v>
      </c>
      <c r="D5" s="5">
        <v>318</v>
      </c>
      <c r="E5" s="5">
        <v>150</v>
      </c>
      <c r="F5" s="5">
        <v>3436</v>
      </c>
      <c r="G5" s="4">
        <v>11</v>
      </c>
      <c r="H5" s="5">
        <v>70</v>
      </c>
      <c r="I5" s="6" t="s">
        <v>12</v>
      </c>
      <c r="J5" s="6" t="s">
        <v>15</v>
      </c>
      <c r="L5">
        <v>18</v>
      </c>
      <c r="M5">
        <v>8</v>
      </c>
      <c r="N5">
        <v>318</v>
      </c>
      <c r="O5">
        <v>150</v>
      </c>
      <c r="P5">
        <v>3436</v>
      </c>
      <c r="Q5">
        <v>11</v>
      </c>
      <c r="R5">
        <v>70</v>
      </c>
      <c r="S5" t="s">
        <v>12</v>
      </c>
      <c r="T5" t="s">
        <v>15</v>
      </c>
    </row>
    <row r="6" spans="1:20" x14ac:dyDescent="0.3">
      <c r="B6" s="5">
        <v>16</v>
      </c>
      <c r="C6" s="5">
        <v>8</v>
      </c>
      <c r="D6" s="5">
        <v>304</v>
      </c>
      <c r="E6" s="5">
        <v>150</v>
      </c>
      <c r="F6" s="5">
        <v>3433</v>
      </c>
      <c r="G6" s="4">
        <v>12</v>
      </c>
      <c r="H6" s="5">
        <v>70</v>
      </c>
      <c r="I6" s="6" t="s">
        <v>12</v>
      </c>
      <c r="J6" s="6" t="s">
        <v>16</v>
      </c>
      <c r="L6">
        <v>16</v>
      </c>
      <c r="M6">
        <v>8</v>
      </c>
      <c r="N6">
        <v>304</v>
      </c>
      <c r="O6">
        <v>150</v>
      </c>
      <c r="P6">
        <v>3433</v>
      </c>
      <c r="Q6">
        <v>12</v>
      </c>
      <c r="R6">
        <v>70</v>
      </c>
      <c r="S6" t="s">
        <v>12</v>
      </c>
      <c r="T6" t="s">
        <v>16</v>
      </c>
    </row>
    <row r="7" spans="1:20" x14ac:dyDescent="0.3">
      <c r="B7" s="5">
        <v>17</v>
      </c>
      <c r="C7" s="5">
        <v>8</v>
      </c>
      <c r="D7" s="5">
        <v>302</v>
      </c>
      <c r="E7" s="5">
        <v>140</v>
      </c>
      <c r="F7" s="5">
        <v>3449</v>
      </c>
      <c r="G7" s="4">
        <v>10.5</v>
      </c>
      <c r="H7" s="5">
        <v>70</v>
      </c>
      <c r="I7" s="6" t="s">
        <v>12</v>
      </c>
      <c r="J7" s="6" t="s">
        <v>17</v>
      </c>
      <c r="L7">
        <v>17</v>
      </c>
      <c r="M7">
        <v>8</v>
      </c>
      <c r="N7">
        <v>302</v>
      </c>
      <c r="O7">
        <v>140</v>
      </c>
      <c r="P7">
        <v>3449</v>
      </c>
      <c r="Q7">
        <v>10.5</v>
      </c>
      <c r="R7">
        <v>70</v>
      </c>
      <c r="S7" t="s">
        <v>12</v>
      </c>
      <c r="T7" t="s">
        <v>17</v>
      </c>
    </row>
    <row r="8" spans="1:20" x14ac:dyDescent="0.3">
      <c r="B8" s="5">
        <v>15</v>
      </c>
      <c r="C8" s="5">
        <v>8</v>
      </c>
      <c r="D8" s="5">
        <v>429</v>
      </c>
      <c r="E8" s="5">
        <v>198</v>
      </c>
      <c r="F8" s="5">
        <v>4341</v>
      </c>
      <c r="G8" s="4">
        <v>10</v>
      </c>
      <c r="H8" s="5">
        <v>70</v>
      </c>
      <c r="I8" s="6" t="s">
        <v>12</v>
      </c>
      <c r="J8" s="6" t="s">
        <v>18</v>
      </c>
      <c r="L8">
        <v>15</v>
      </c>
      <c r="M8">
        <v>8</v>
      </c>
      <c r="N8">
        <v>429</v>
      </c>
      <c r="O8">
        <v>198</v>
      </c>
      <c r="P8">
        <v>4341</v>
      </c>
      <c r="Q8">
        <v>10</v>
      </c>
      <c r="R8">
        <v>70</v>
      </c>
      <c r="S8" t="s">
        <v>12</v>
      </c>
      <c r="T8" t="s">
        <v>18</v>
      </c>
    </row>
    <row r="9" spans="1:20" x14ac:dyDescent="0.3">
      <c r="B9" s="5">
        <v>14</v>
      </c>
      <c r="C9" s="5">
        <v>8</v>
      </c>
      <c r="D9" s="5">
        <v>454</v>
      </c>
      <c r="E9" s="5">
        <v>220</v>
      </c>
      <c r="F9" s="5">
        <v>4354</v>
      </c>
      <c r="G9" s="4">
        <v>9</v>
      </c>
      <c r="H9" s="5">
        <v>70</v>
      </c>
      <c r="I9" s="6" t="s">
        <v>12</v>
      </c>
      <c r="J9" s="6" t="s">
        <v>19</v>
      </c>
      <c r="L9">
        <v>14</v>
      </c>
      <c r="M9">
        <v>8</v>
      </c>
      <c r="N9">
        <v>454</v>
      </c>
      <c r="O9">
        <v>220</v>
      </c>
      <c r="P9">
        <v>4354</v>
      </c>
      <c r="Q9">
        <v>9</v>
      </c>
      <c r="R9">
        <v>70</v>
      </c>
      <c r="S9" t="s">
        <v>12</v>
      </c>
      <c r="T9" t="s">
        <v>19</v>
      </c>
    </row>
    <row r="10" spans="1:20" x14ac:dyDescent="0.3">
      <c r="B10" s="5">
        <v>14</v>
      </c>
      <c r="C10" s="5">
        <v>8</v>
      </c>
      <c r="D10" s="5">
        <v>440</v>
      </c>
      <c r="E10" s="5">
        <v>215</v>
      </c>
      <c r="F10" s="5">
        <v>4312</v>
      </c>
      <c r="G10" s="4">
        <v>8.5</v>
      </c>
      <c r="H10" s="5">
        <v>70</v>
      </c>
      <c r="I10" s="6" t="s">
        <v>12</v>
      </c>
      <c r="J10" s="6" t="s">
        <v>20</v>
      </c>
      <c r="L10">
        <v>14</v>
      </c>
      <c r="M10">
        <v>8</v>
      </c>
      <c r="N10">
        <v>440</v>
      </c>
      <c r="O10">
        <v>215</v>
      </c>
      <c r="P10">
        <v>4312</v>
      </c>
      <c r="Q10">
        <v>8.5</v>
      </c>
      <c r="R10">
        <v>70</v>
      </c>
      <c r="S10" t="s">
        <v>12</v>
      </c>
      <c r="T10" t="s">
        <v>20</v>
      </c>
    </row>
    <row r="11" spans="1:20" x14ac:dyDescent="0.3">
      <c r="B11" s="5">
        <v>14</v>
      </c>
      <c r="C11" s="5">
        <v>8</v>
      </c>
      <c r="D11" s="5">
        <v>455</v>
      </c>
      <c r="E11" s="5">
        <v>225</v>
      </c>
      <c r="F11" s="5">
        <v>4425</v>
      </c>
      <c r="G11" s="4">
        <v>10</v>
      </c>
      <c r="H11" s="5">
        <v>70</v>
      </c>
      <c r="I11" s="6" t="s">
        <v>12</v>
      </c>
      <c r="J11" s="6" t="s">
        <v>21</v>
      </c>
      <c r="L11">
        <v>14</v>
      </c>
      <c r="M11">
        <v>8</v>
      </c>
      <c r="N11">
        <v>455</v>
      </c>
      <c r="O11">
        <v>225</v>
      </c>
      <c r="P11">
        <v>4425</v>
      </c>
      <c r="Q11">
        <v>10</v>
      </c>
      <c r="R11">
        <v>70</v>
      </c>
      <c r="S11" t="s">
        <v>12</v>
      </c>
      <c r="T11" t="s">
        <v>21</v>
      </c>
    </row>
    <row r="12" spans="1:20" x14ac:dyDescent="0.3">
      <c r="B12" s="5">
        <v>15</v>
      </c>
      <c r="C12" s="5">
        <v>8</v>
      </c>
      <c r="D12" s="5">
        <v>390</v>
      </c>
      <c r="E12" s="5">
        <v>190</v>
      </c>
      <c r="F12" s="5">
        <v>3850</v>
      </c>
      <c r="G12" s="4">
        <v>8.5</v>
      </c>
      <c r="H12" s="5">
        <v>70</v>
      </c>
      <c r="I12" s="6" t="s">
        <v>12</v>
      </c>
      <c r="J12" s="6" t="s">
        <v>22</v>
      </c>
      <c r="L12">
        <v>15</v>
      </c>
      <c r="M12">
        <v>8</v>
      </c>
      <c r="N12">
        <v>390</v>
      </c>
      <c r="O12">
        <v>190</v>
      </c>
      <c r="P12">
        <v>3850</v>
      </c>
      <c r="Q12">
        <v>8.5</v>
      </c>
      <c r="R12">
        <v>70</v>
      </c>
      <c r="S12" t="s">
        <v>12</v>
      </c>
      <c r="T12" t="s">
        <v>22</v>
      </c>
    </row>
    <row r="13" spans="1:20" x14ac:dyDescent="0.3">
      <c r="B13" s="5">
        <v>15</v>
      </c>
      <c r="C13" s="5">
        <v>8</v>
      </c>
      <c r="D13" s="5">
        <v>383</v>
      </c>
      <c r="E13" s="5">
        <v>170</v>
      </c>
      <c r="F13" s="5">
        <v>3563</v>
      </c>
      <c r="G13" s="4">
        <v>10</v>
      </c>
      <c r="H13" s="5">
        <v>70</v>
      </c>
      <c r="I13" s="6" t="s">
        <v>12</v>
      </c>
      <c r="J13" s="6" t="s">
        <v>23</v>
      </c>
      <c r="L13">
        <v>15</v>
      </c>
      <c r="M13">
        <v>8</v>
      </c>
      <c r="N13">
        <v>383</v>
      </c>
      <c r="O13">
        <v>170</v>
      </c>
      <c r="P13">
        <v>3563</v>
      </c>
      <c r="Q13">
        <v>10</v>
      </c>
      <c r="R13">
        <v>70</v>
      </c>
      <c r="S13" t="s">
        <v>12</v>
      </c>
      <c r="T13" t="s">
        <v>23</v>
      </c>
    </row>
    <row r="14" spans="1:20" x14ac:dyDescent="0.3">
      <c r="B14" s="5">
        <v>14</v>
      </c>
      <c r="C14" s="5">
        <v>8</v>
      </c>
      <c r="D14" s="5">
        <v>340</v>
      </c>
      <c r="E14" s="5">
        <v>160</v>
      </c>
      <c r="F14" s="5">
        <v>3609</v>
      </c>
      <c r="G14" s="4">
        <v>8</v>
      </c>
      <c r="H14" s="5">
        <v>70</v>
      </c>
      <c r="I14" s="6" t="s">
        <v>12</v>
      </c>
      <c r="J14" s="6" t="s">
        <v>24</v>
      </c>
      <c r="L14">
        <v>14</v>
      </c>
      <c r="M14">
        <v>8</v>
      </c>
      <c r="N14">
        <v>340</v>
      </c>
      <c r="O14">
        <v>160</v>
      </c>
      <c r="P14">
        <v>3609</v>
      </c>
      <c r="Q14">
        <v>8</v>
      </c>
      <c r="R14">
        <v>70</v>
      </c>
      <c r="S14" t="s">
        <v>12</v>
      </c>
      <c r="T14" t="s">
        <v>24</v>
      </c>
    </row>
    <row r="15" spans="1:20" x14ac:dyDescent="0.3">
      <c r="B15" s="5">
        <v>15</v>
      </c>
      <c r="C15" s="5">
        <v>8</v>
      </c>
      <c r="D15" s="5">
        <v>400</v>
      </c>
      <c r="E15" s="5">
        <v>150</v>
      </c>
      <c r="F15" s="5">
        <v>3761</v>
      </c>
      <c r="G15" s="4">
        <v>9.5</v>
      </c>
      <c r="H15" s="5">
        <v>70</v>
      </c>
      <c r="I15" s="6" t="s">
        <v>12</v>
      </c>
      <c r="J15" s="6" t="s">
        <v>25</v>
      </c>
      <c r="L15">
        <v>15</v>
      </c>
      <c r="M15">
        <v>8</v>
      </c>
      <c r="N15">
        <v>400</v>
      </c>
      <c r="O15">
        <v>150</v>
      </c>
      <c r="P15">
        <v>3761</v>
      </c>
      <c r="Q15">
        <v>9.5</v>
      </c>
      <c r="R15">
        <v>70</v>
      </c>
      <c r="S15" t="s">
        <v>12</v>
      </c>
      <c r="T15" t="s">
        <v>25</v>
      </c>
    </row>
    <row r="16" spans="1:20" x14ac:dyDescent="0.3">
      <c r="B16" s="5">
        <v>14</v>
      </c>
      <c r="C16" s="5">
        <v>8</v>
      </c>
      <c r="D16" s="5">
        <v>455</v>
      </c>
      <c r="E16" s="5">
        <v>225</v>
      </c>
      <c r="F16" s="5">
        <v>3086</v>
      </c>
      <c r="G16" s="4">
        <v>10</v>
      </c>
      <c r="H16" s="5">
        <v>70</v>
      </c>
      <c r="I16" s="6" t="s">
        <v>12</v>
      </c>
      <c r="J16" s="6" t="s">
        <v>26</v>
      </c>
      <c r="L16">
        <v>14</v>
      </c>
      <c r="M16">
        <v>8</v>
      </c>
      <c r="N16">
        <v>455</v>
      </c>
      <c r="O16">
        <v>225</v>
      </c>
      <c r="P16">
        <v>3086</v>
      </c>
      <c r="Q16">
        <v>10</v>
      </c>
      <c r="R16">
        <v>70</v>
      </c>
      <c r="S16" t="s">
        <v>12</v>
      </c>
      <c r="T16" t="s">
        <v>26</v>
      </c>
    </row>
    <row r="17" spans="2:20" x14ac:dyDescent="0.3">
      <c r="B17" s="5">
        <v>24</v>
      </c>
      <c r="C17" s="5">
        <v>4</v>
      </c>
      <c r="D17" s="5">
        <v>113</v>
      </c>
      <c r="E17" s="5">
        <v>95</v>
      </c>
      <c r="F17" s="5">
        <v>2372</v>
      </c>
      <c r="G17" s="4">
        <v>15</v>
      </c>
      <c r="H17" s="5">
        <v>70</v>
      </c>
      <c r="I17" s="6" t="s">
        <v>27</v>
      </c>
      <c r="J17" s="6" t="s">
        <v>28</v>
      </c>
      <c r="L17">
        <v>24</v>
      </c>
      <c r="M17">
        <v>4</v>
      </c>
      <c r="N17">
        <v>113</v>
      </c>
      <c r="O17">
        <v>95</v>
      </c>
      <c r="P17">
        <v>2372</v>
      </c>
      <c r="Q17">
        <v>15</v>
      </c>
      <c r="R17">
        <v>70</v>
      </c>
      <c r="S17" t="s">
        <v>27</v>
      </c>
      <c r="T17" t="s">
        <v>28</v>
      </c>
    </row>
    <row r="18" spans="2:20" x14ac:dyDescent="0.3">
      <c r="B18" s="5">
        <v>22</v>
      </c>
      <c r="C18" s="5">
        <v>6</v>
      </c>
      <c r="D18" s="5">
        <v>198</v>
      </c>
      <c r="E18" s="5">
        <v>95</v>
      </c>
      <c r="F18" s="5">
        <v>2833</v>
      </c>
      <c r="G18" s="4">
        <v>15.5</v>
      </c>
      <c r="H18" s="5">
        <v>70</v>
      </c>
      <c r="I18" s="6" t="s">
        <v>12</v>
      </c>
      <c r="J18" s="6" t="s">
        <v>29</v>
      </c>
      <c r="L18">
        <v>22</v>
      </c>
      <c r="M18">
        <v>6</v>
      </c>
      <c r="N18">
        <v>198</v>
      </c>
      <c r="O18">
        <v>95</v>
      </c>
      <c r="P18">
        <v>2833</v>
      </c>
      <c r="Q18">
        <v>15.5</v>
      </c>
      <c r="R18">
        <v>70</v>
      </c>
      <c r="S18" t="s">
        <v>12</v>
      </c>
      <c r="T18" t="s">
        <v>29</v>
      </c>
    </row>
    <row r="19" spans="2:20" x14ac:dyDescent="0.3">
      <c r="B19" s="5">
        <v>18</v>
      </c>
      <c r="C19" s="5">
        <v>6</v>
      </c>
      <c r="D19" s="5">
        <v>199</v>
      </c>
      <c r="E19" s="5">
        <v>97</v>
      </c>
      <c r="F19" s="5">
        <v>2774</v>
      </c>
      <c r="G19" s="4">
        <v>15.5</v>
      </c>
      <c r="H19" s="5">
        <v>70</v>
      </c>
      <c r="I19" s="6" t="s">
        <v>12</v>
      </c>
      <c r="J19" s="6" t="s">
        <v>30</v>
      </c>
      <c r="L19">
        <v>18</v>
      </c>
      <c r="M19">
        <v>6</v>
      </c>
      <c r="N19">
        <v>199</v>
      </c>
      <c r="O19">
        <v>97</v>
      </c>
      <c r="P19">
        <v>2774</v>
      </c>
      <c r="Q19">
        <v>15.5</v>
      </c>
      <c r="R19">
        <v>70</v>
      </c>
      <c r="S19" t="s">
        <v>12</v>
      </c>
      <c r="T19" t="s">
        <v>30</v>
      </c>
    </row>
    <row r="20" spans="2:20" x14ac:dyDescent="0.3">
      <c r="B20" s="5">
        <v>21</v>
      </c>
      <c r="C20" s="5">
        <v>6</v>
      </c>
      <c r="D20" s="5">
        <v>200</v>
      </c>
      <c r="E20" s="5">
        <v>85</v>
      </c>
      <c r="F20" s="5">
        <v>2587</v>
      </c>
      <c r="G20" s="4">
        <v>16</v>
      </c>
      <c r="H20" s="5">
        <v>70</v>
      </c>
      <c r="I20" s="6" t="s">
        <v>12</v>
      </c>
      <c r="J20" s="6" t="s">
        <v>31</v>
      </c>
      <c r="L20">
        <v>21</v>
      </c>
      <c r="M20">
        <v>6</v>
      </c>
      <c r="N20">
        <v>200</v>
      </c>
      <c r="O20">
        <v>85</v>
      </c>
      <c r="P20">
        <v>2587</v>
      </c>
      <c r="Q20">
        <v>16</v>
      </c>
      <c r="R20">
        <v>70</v>
      </c>
      <c r="S20" t="s">
        <v>12</v>
      </c>
      <c r="T20" t="s">
        <v>31</v>
      </c>
    </row>
    <row r="21" spans="2:20" x14ac:dyDescent="0.3">
      <c r="B21" s="5">
        <v>27</v>
      </c>
      <c r="C21" s="5">
        <v>4</v>
      </c>
      <c r="D21" s="5">
        <v>97</v>
      </c>
      <c r="E21" s="5">
        <v>88</v>
      </c>
      <c r="F21" s="5">
        <v>2130</v>
      </c>
      <c r="G21" s="4">
        <v>14.5</v>
      </c>
      <c r="H21" s="5">
        <v>70</v>
      </c>
      <c r="I21" s="6" t="s">
        <v>27</v>
      </c>
      <c r="J21" s="6" t="s">
        <v>32</v>
      </c>
      <c r="L21">
        <v>27</v>
      </c>
      <c r="M21">
        <v>4</v>
      </c>
      <c r="N21">
        <v>97</v>
      </c>
      <c r="O21">
        <v>88</v>
      </c>
      <c r="P21">
        <v>2130</v>
      </c>
      <c r="Q21">
        <v>14.5</v>
      </c>
      <c r="R21">
        <v>70</v>
      </c>
      <c r="S21" t="s">
        <v>27</v>
      </c>
      <c r="T21" t="s">
        <v>32</v>
      </c>
    </row>
    <row r="22" spans="2:20" x14ac:dyDescent="0.3">
      <c r="B22" s="5">
        <v>26</v>
      </c>
      <c r="C22" s="5">
        <v>4</v>
      </c>
      <c r="D22" s="5">
        <v>97</v>
      </c>
      <c r="E22" s="5">
        <v>46</v>
      </c>
      <c r="F22" s="5">
        <v>1835</v>
      </c>
      <c r="G22" s="4">
        <v>20.5</v>
      </c>
      <c r="H22" s="5">
        <v>70</v>
      </c>
      <c r="I22" s="6" t="s">
        <v>33</v>
      </c>
      <c r="J22" s="6" t="s">
        <v>34</v>
      </c>
      <c r="L22">
        <v>26</v>
      </c>
      <c r="M22">
        <v>4</v>
      </c>
      <c r="N22">
        <v>97</v>
      </c>
      <c r="O22">
        <v>46</v>
      </c>
      <c r="P22">
        <v>1835</v>
      </c>
      <c r="Q22">
        <v>20.5</v>
      </c>
      <c r="R22">
        <v>70</v>
      </c>
      <c r="S22" t="s">
        <v>33</v>
      </c>
      <c r="T22" t="s">
        <v>34</v>
      </c>
    </row>
    <row r="23" spans="2:20" x14ac:dyDescent="0.3">
      <c r="B23" s="5">
        <v>25</v>
      </c>
      <c r="C23" s="5">
        <v>4</v>
      </c>
      <c r="D23" s="5">
        <v>110</v>
      </c>
      <c r="E23" s="5">
        <v>87</v>
      </c>
      <c r="F23" s="5">
        <v>2672</v>
      </c>
      <c r="G23" s="4">
        <v>17.5</v>
      </c>
      <c r="H23" s="5">
        <v>70</v>
      </c>
      <c r="I23" s="6" t="s">
        <v>33</v>
      </c>
      <c r="J23" s="6" t="s">
        <v>35</v>
      </c>
      <c r="L23">
        <v>25</v>
      </c>
      <c r="M23">
        <v>4</v>
      </c>
      <c r="N23">
        <v>110</v>
      </c>
      <c r="O23">
        <v>87</v>
      </c>
      <c r="P23">
        <v>2672</v>
      </c>
      <c r="Q23">
        <v>17.5</v>
      </c>
      <c r="R23">
        <v>70</v>
      </c>
      <c r="S23" t="s">
        <v>33</v>
      </c>
      <c r="T23" t="s">
        <v>35</v>
      </c>
    </row>
    <row r="24" spans="2:20" x14ac:dyDescent="0.3">
      <c r="B24" s="5">
        <v>24</v>
      </c>
      <c r="C24" s="5">
        <v>4</v>
      </c>
      <c r="D24" s="5">
        <v>107</v>
      </c>
      <c r="E24" s="5">
        <v>90</v>
      </c>
      <c r="F24" s="5">
        <v>2430</v>
      </c>
      <c r="G24" s="4">
        <v>14.5</v>
      </c>
      <c r="H24" s="5">
        <v>70</v>
      </c>
      <c r="I24" s="6" t="s">
        <v>33</v>
      </c>
      <c r="J24" s="6" t="s">
        <v>36</v>
      </c>
      <c r="L24">
        <v>24</v>
      </c>
      <c r="M24">
        <v>4</v>
      </c>
      <c r="N24">
        <v>107</v>
      </c>
      <c r="O24">
        <v>90</v>
      </c>
      <c r="P24">
        <v>2430</v>
      </c>
      <c r="Q24">
        <v>14.5</v>
      </c>
      <c r="R24">
        <v>70</v>
      </c>
      <c r="S24" t="s">
        <v>33</v>
      </c>
      <c r="T24" t="s">
        <v>36</v>
      </c>
    </row>
    <row r="25" spans="2:20" x14ac:dyDescent="0.3">
      <c r="B25" s="5">
        <v>25</v>
      </c>
      <c r="C25" s="5">
        <v>4</v>
      </c>
      <c r="D25" s="5">
        <v>104</v>
      </c>
      <c r="E25" s="5">
        <v>95</v>
      </c>
      <c r="F25" s="5">
        <v>2375</v>
      </c>
      <c r="G25" s="4">
        <v>17.5</v>
      </c>
      <c r="H25" s="5">
        <v>70</v>
      </c>
      <c r="I25" s="6" t="s">
        <v>33</v>
      </c>
      <c r="J25" s="6" t="s">
        <v>37</v>
      </c>
      <c r="L25">
        <v>25</v>
      </c>
      <c r="M25">
        <v>4</v>
      </c>
      <c r="N25">
        <v>104</v>
      </c>
      <c r="O25">
        <v>95</v>
      </c>
      <c r="P25">
        <v>2375</v>
      </c>
      <c r="Q25">
        <v>17.5</v>
      </c>
      <c r="R25">
        <v>70</v>
      </c>
      <c r="S25" t="s">
        <v>33</v>
      </c>
      <c r="T25" t="s">
        <v>37</v>
      </c>
    </row>
    <row r="26" spans="2:20" x14ac:dyDescent="0.3">
      <c r="B26" s="5">
        <v>26</v>
      </c>
      <c r="C26" s="5">
        <v>4</v>
      </c>
      <c r="D26" s="5">
        <v>121</v>
      </c>
      <c r="E26" s="5">
        <v>113</v>
      </c>
      <c r="F26" s="5">
        <v>2234</v>
      </c>
      <c r="G26" s="4">
        <v>12.5</v>
      </c>
      <c r="H26" s="5">
        <v>70</v>
      </c>
      <c r="I26" s="6" t="s">
        <v>33</v>
      </c>
      <c r="J26" s="6" t="s">
        <v>38</v>
      </c>
      <c r="L26">
        <v>26</v>
      </c>
      <c r="M26">
        <v>4</v>
      </c>
      <c r="N26">
        <v>121</v>
      </c>
      <c r="O26">
        <v>113</v>
      </c>
      <c r="P26">
        <v>2234</v>
      </c>
      <c r="Q26">
        <v>12.5</v>
      </c>
      <c r="R26">
        <v>70</v>
      </c>
      <c r="S26" t="s">
        <v>33</v>
      </c>
      <c r="T26" t="s">
        <v>38</v>
      </c>
    </row>
    <row r="27" spans="2:20" x14ac:dyDescent="0.3">
      <c r="B27" s="5">
        <v>21</v>
      </c>
      <c r="C27" s="5">
        <v>6</v>
      </c>
      <c r="D27" s="5">
        <v>199</v>
      </c>
      <c r="E27" s="5">
        <v>90</v>
      </c>
      <c r="F27" s="5">
        <v>2648</v>
      </c>
      <c r="G27" s="4">
        <v>15</v>
      </c>
      <c r="H27" s="5">
        <v>70</v>
      </c>
      <c r="I27" s="6" t="s">
        <v>12</v>
      </c>
      <c r="J27" s="6" t="s">
        <v>39</v>
      </c>
      <c r="L27">
        <v>21</v>
      </c>
      <c r="M27">
        <v>6</v>
      </c>
      <c r="N27">
        <v>199</v>
      </c>
      <c r="O27">
        <v>90</v>
      </c>
      <c r="P27">
        <v>2648</v>
      </c>
      <c r="Q27">
        <v>15</v>
      </c>
      <c r="R27">
        <v>70</v>
      </c>
      <c r="S27" t="s">
        <v>12</v>
      </c>
      <c r="T27" t="s">
        <v>39</v>
      </c>
    </row>
    <row r="28" spans="2:20" x14ac:dyDescent="0.3">
      <c r="B28" s="5">
        <v>10</v>
      </c>
      <c r="C28" s="5">
        <v>8</v>
      </c>
      <c r="D28" s="5">
        <v>360</v>
      </c>
      <c r="E28" s="5">
        <v>215</v>
      </c>
      <c r="F28" s="5">
        <v>4615</v>
      </c>
      <c r="G28" s="4">
        <v>14</v>
      </c>
      <c r="H28" s="5">
        <v>70</v>
      </c>
      <c r="I28" s="6" t="s">
        <v>12</v>
      </c>
      <c r="J28" s="6" t="s">
        <v>40</v>
      </c>
      <c r="L28">
        <v>10</v>
      </c>
      <c r="M28">
        <v>8</v>
      </c>
      <c r="N28">
        <v>360</v>
      </c>
      <c r="O28">
        <v>215</v>
      </c>
      <c r="P28">
        <v>4615</v>
      </c>
      <c r="Q28">
        <v>14</v>
      </c>
      <c r="R28">
        <v>70</v>
      </c>
      <c r="S28" t="s">
        <v>12</v>
      </c>
      <c r="T28" t="s">
        <v>40</v>
      </c>
    </row>
    <row r="29" spans="2:20" x14ac:dyDescent="0.3">
      <c r="B29" s="5">
        <v>10</v>
      </c>
      <c r="C29" s="5">
        <v>8</v>
      </c>
      <c r="D29" s="5">
        <v>307</v>
      </c>
      <c r="E29" s="5">
        <v>200</v>
      </c>
      <c r="F29" s="5">
        <v>4376</v>
      </c>
      <c r="G29" s="4">
        <v>15</v>
      </c>
      <c r="H29" s="5">
        <v>70</v>
      </c>
      <c r="I29" s="6" t="s">
        <v>12</v>
      </c>
      <c r="J29" s="6" t="s">
        <v>41</v>
      </c>
      <c r="L29">
        <v>10</v>
      </c>
      <c r="M29">
        <v>8</v>
      </c>
      <c r="N29">
        <v>307</v>
      </c>
      <c r="O29">
        <v>200</v>
      </c>
      <c r="P29">
        <v>4376</v>
      </c>
      <c r="Q29">
        <v>15</v>
      </c>
      <c r="R29">
        <v>70</v>
      </c>
      <c r="S29" t="s">
        <v>12</v>
      </c>
      <c r="T29" t="s">
        <v>41</v>
      </c>
    </row>
    <row r="30" spans="2:20" x14ac:dyDescent="0.3">
      <c r="B30" s="5">
        <v>11</v>
      </c>
      <c r="C30" s="5">
        <v>8</v>
      </c>
      <c r="D30" s="5">
        <v>318</v>
      </c>
      <c r="E30" s="5">
        <v>210</v>
      </c>
      <c r="F30" s="5">
        <v>4382</v>
      </c>
      <c r="G30" s="4">
        <v>13.5</v>
      </c>
      <c r="H30" s="5">
        <v>70</v>
      </c>
      <c r="I30" s="6" t="s">
        <v>12</v>
      </c>
      <c r="J30" s="6" t="s">
        <v>42</v>
      </c>
      <c r="L30">
        <v>11</v>
      </c>
      <c r="M30">
        <v>8</v>
      </c>
      <c r="N30">
        <v>318</v>
      </c>
      <c r="O30">
        <v>210</v>
      </c>
      <c r="P30">
        <v>4382</v>
      </c>
      <c r="Q30">
        <v>13.5</v>
      </c>
      <c r="R30">
        <v>70</v>
      </c>
      <c r="S30" t="s">
        <v>12</v>
      </c>
      <c r="T30" t="s">
        <v>42</v>
      </c>
    </row>
    <row r="31" spans="2:20" x14ac:dyDescent="0.3">
      <c r="B31" s="5">
        <v>9</v>
      </c>
      <c r="C31" s="5">
        <v>8</v>
      </c>
      <c r="D31" s="5">
        <v>304</v>
      </c>
      <c r="E31" s="5">
        <v>193</v>
      </c>
      <c r="F31" s="5">
        <v>4732</v>
      </c>
      <c r="G31" s="4">
        <v>18.5</v>
      </c>
      <c r="H31" s="5">
        <v>70</v>
      </c>
      <c r="I31" s="6" t="s">
        <v>12</v>
      </c>
      <c r="J31" s="6" t="s">
        <v>43</v>
      </c>
      <c r="L31">
        <v>9</v>
      </c>
      <c r="M31">
        <v>8</v>
      </c>
      <c r="N31">
        <v>304</v>
      </c>
      <c r="O31">
        <v>193</v>
      </c>
      <c r="P31">
        <v>4732</v>
      </c>
      <c r="Q31">
        <v>18.5</v>
      </c>
      <c r="R31">
        <v>70</v>
      </c>
      <c r="S31" t="s">
        <v>12</v>
      </c>
      <c r="T31" t="s">
        <v>43</v>
      </c>
    </row>
    <row r="32" spans="2:20" x14ac:dyDescent="0.3">
      <c r="B32" s="5">
        <v>27</v>
      </c>
      <c r="C32" s="5">
        <v>4</v>
      </c>
      <c r="D32" s="5">
        <v>97</v>
      </c>
      <c r="E32" s="5">
        <v>88</v>
      </c>
      <c r="F32" s="5">
        <v>2130</v>
      </c>
      <c r="G32" s="4">
        <v>14.5</v>
      </c>
      <c r="H32" s="5">
        <v>71</v>
      </c>
      <c r="I32" s="6" t="s">
        <v>27</v>
      </c>
      <c r="J32" s="6" t="s">
        <v>32</v>
      </c>
      <c r="L32">
        <v>27</v>
      </c>
      <c r="M32">
        <v>4</v>
      </c>
      <c r="N32">
        <v>97</v>
      </c>
      <c r="O32">
        <v>88</v>
      </c>
      <c r="P32">
        <v>2130</v>
      </c>
      <c r="Q32">
        <v>14.5</v>
      </c>
      <c r="R32">
        <v>71</v>
      </c>
      <c r="S32" t="s">
        <v>27</v>
      </c>
      <c r="T32" t="s">
        <v>32</v>
      </c>
    </row>
    <row r="33" spans="2:20" x14ac:dyDescent="0.3">
      <c r="B33" s="5">
        <v>28</v>
      </c>
      <c r="C33" s="5">
        <v>4</v>
      </c>
      <c r="D33" s="5">
        <v>140</v>
      </c>
      <c r="E33" s="5">
        <v>90</v>
      </c>
      <c r="F33" s="5">
        <v>2264</v>
      </c>
      <c r="G33" s="4">
        <v>15.5</v>
      </c>
      <c r="H33" s="5">
        <v>71</v>
      </c>
      <c r="I33" s="6" t="s">
        <v>12</v>
      </c>
      <c r="J33" s="6" t="s">
        <v>44</v>
      </c>
      <c r="L33">
        <v>28</v>
      </c>
      <c r="M33">
        <v>4</v>
      </c>
      <c r="N33">
        <v>140</v>
      </c>
      <c r="O33">
        <v>90</v>
      </c>
      <c r="P33">
        <v>2264</v>
      </c>
      <c r="Q33">
        <v>15.5</v>
      </c>
      <c r="R33">
        <v>71</v>
      </c>
      <c r="S33" t="s">
        <v>12</v>
      </c>
      <c r="T33" t="s">
        <v>44</v>
      </c>
    </row>
    <row r="34" spans="2:20" x14ac:dyDescent="0.3">
      <c r="B34" s="5">
        <v>25</v>
      </c>
      <c r="C34" s="5">
        <v>4</v>
      </c>
      <c r="D34" s="5">
        <v>113</v>
      </c>
      <c r="E34" s="5">
        <v>95</v>
      </c>
      <c r="F34" s="5">
        <v>2228</v>
      </c>
      <c r="G34" s="4">
        <v>14</v>
      </c>
      <c r="H34" s="5">
        <v>71</v>
      </c>
      <c r="I34" s="6" t="s">
        <v>27</v>
      </c>
      <c r="J34" s="6" t="s">
        <v>45</v>
      </c>
      <c r="L34">
        <v>25</v>
      </c>
      <c r="M34">
        <v>4</v>
      </c>
      <c r="N34">
        <v>113</v>
      </c>
      <c r="O34">
        <v>95</v>
      </c>
      <c r="P34">
        <v>2228</v>
      </c>
      <c r="Q34">
        <v>14</v>
      </c>
      <c r="R34">
        <v>71</v>
      </c>
      <c r="S34" t="s">
        <v>27</v>
      </c>
      <c r="T34" t="s">
        <v>45</v>
      </c>
    </row>
    <row r="35" spans="2:20" x14ac:dyDescent="0.3">
      <c r="B35" s="5">
        <v>25</v>
      </c>
      <c r="C35" s="5">
        <v>4</v>
      </c>
      <c r="D35" s="5">
        <v>98</v>
      </c>
      <c r="E35" s="5"/>
      <c r="F35" s="5">
        <v>2046</v>
      </c>
      <c r="G35" s="4">
        <v>19</v>
      </c>
      <c r="H35" s="5">
        <v>71</v>
      </c>
      <c r="I35" s="6" t="s">
        <v>12</v>
      </c>
      <c r="J35" s="6" t="s">
        <v>46</v>
      </c>
      <c r="L35">
        <v>19</v>
      </c>
      <c r="M35">
        <v>6</v>
      </c>
      <c r="N35">
        <v>232</v>
      </c>
      <c r="O35">
        <v>100</v>
      </c>
      <c r="P35">
        <v>2634</v>
      </c>
      <c r="Q35">
        <v>13</v>
      </c>
      <c r="R35">
        <v>71</v>
      </c>
      <c r="S35" t="s">
        <v>12</v>
      </c>
      <c r="T35" t="s">
        <v>39</v>
      </c>
    </row>
    <row r="36" spans="2:20" x14ac:dyDescent="0.3">
      <c r="B36" s="5">
        <v>19</v>
      </c>
      <c r="C36" s="5">
        <v>6</v>
      </c>
      <c r="D36" s="5">
        <v>232</v>
      </c>
      <c r="E36" s="5">
        <v>100</v>
      </c>
      <c r="F36" s="5">
        <v>2634</v>
      </c>
      <c r="G36" s="4">
        <v>13</v>
      </c>
      <c r="H36" s="5">
        <v>71</v>
      </c>
      <c r="I36" s="6" t="s">
        <v>12</v>
      </c>
      <c r="J36" s="6" t="s">
        <v>39</v>
      </c>
      <c r="L36">
        <v>16</v>
      </c>
      <c r="M36">
        <v>6</v>
      </c>
      <c r="N36">
        <v>225</v>
      </c>
      <c r="O36">
        <v>105</v>
      </c>
      <c r="P36">
        <v>3439</v>
      </c>
      <c r="Q36">
        <v>15.5</v>
      </c>
      <c r="R36">
        <v>71</v>
      </c>
      <c r="S36" t="s">
        <v>12</v>
      </c>
      <c r="T36" t="s">
        <v>47</v>
      </c>
    </row>
    <row r="37" spans="2:20" x14ac:dyDescent="0.3">
      <c r="B37" s="5">
        <v>16</v>
      </c>
      <c r="C37" s="5">
        <v>6</v>
      </c>
      <c r="D37" s="5">
        <v>225</v>
      </c>
      <c r="E37" s="5">
        <v>105</v>
      </c>
      <c r="F37" s="5">
        <v>3439</v>
      </c>
      <c r="G37" s="4">
        <v>15.5</v>
      </c>
      <c r="H37" s="5">
        <v>71</v>
      </c>
      <c r="I37" s="6" t="s">
        <v>12</v>
      </c>
      <c r="J37" s="6" t="s">
        <v>47</v>
      </c>
      <c r="L37">
        <v>17</v>
      </c>
      <c r="M37">
        <v>6</v>
      </c>
      <c r="N37">
        <v>250</v>
      </c>
      <c r="O37">
        <v>100</v>
      </c>
      <c r="P37">
        <v>3329</v>
      </c>
      <c r="Q37">
        <v>15.5</v>
      </c>
      <c r="R37">
        <v>71</v>
      </c>
      <c r="S37" t="s">
        <v>12</v>
      </c>
      <c r="T37" t="s">
        <v>13</v>
      </c>
    </row>
    <row r="38" spans="2:20" x14ac:dyDescent="0.3">
      <c r="B38" s="5">
        <v>17</v>
      </c>
      <c r="C38" s="5">
        <v>6</v>
      </c>
      <c r="D38" s="5">
        <v>250</v>
      </c>
      <c r="E38" s="5">
        <v>100</v>
      </c>
      <c r="F38" s="5">
        <v>3329</v>
      </c>
      <c r="G38" s="4">
        <v>15.5</v>
      </c>
      <c r="H38" s="5">
        <v>71</v>
      </c>
      <c r="I38" s="6" t="s">
        <v>12</v>
      </c>
      <c r="J38" s="6" t="s">
        <v>13</v>
      </c>
      <c r="L38">
        <v>19</v>
      </c>
      <c r="M38">
        <v>6</v>
      </c>
      <c r="N38">
        <v>250</v>
      </c>
      <c r="O38">
        <v>88</v>
      </c>
      <c r="P38">
        <v>3302</v>
      </c>
      <c r="Q38">
        <v>15.5</v>
      </c>
      <c r="R38">
        <v>71</v>
      </c>
      <c r="S38" t="s">
        <v>12</v>
      </c>
      <c r="T38" t="s">
        <v>48</v>
      </c>
    </row>
    <row r="39" spans="2:20" x14ac:dyDescent="0.3">
      <c r="B39" s="5">
        <v>19</v>
      </c>
      <c r="C39" s="5">
        <v>6</v>
      </c>
      <c r="D39" s="5">
        <v>250</v>
      </c>
      <c r="E39" s="5">
        <v>88</v>
      </c>
      <c r="F39" s="5">
        <v>3302</v>
      </c>
      <c r="G39" s="4">
        <v>15.5</v>
      </c>
      <c r="H39" s="5">
        <v>71</v>
      </c>
      <c r="I39" s="6" t="s">
        <v>12</v>
      </c>
      <c r="J39" s="6" t="s">
        <v>48</v>
      </c>
      <c r="L39">
        <v>18</v>
      </c>
      <c r="M39">
        <v>6</v>
      </c>
      <c r="N39">
        <v>232</v>
      </c>
      <c r="O39">
        <v>100</v>
      </c>
      <c r="P39">
        <v>3288</v>
      </c>
      <c r="Q39">
        <v>15.5</v>
      </c>
      <c r="R39">
        <v>71</v>
      </c>
      <c r="S39" t="s">
        <v>12</v>
      </c>
      <c r="T39" t="s">
        <v>49</v>
      </c>
    </row>
    <row r="40" spans="2:20" x14ac:dyDescent="0.3">
      <c r="B40" s="5">
        <v>18</v>
      </c>
      <c r="C40" s="5">
        <v>6</v>
      </c>
      <c r="D40" s="5">
        <v>232</v>
      </c>
      <c r="E40" s="5">
        <v>100</v>
      </c>
      <c r="F40" s="5">
        <v>3288</v>
      </c>
      <c r="G40" s="4">
        <v>15.5</v>
      </c>
      <c r="H40" s="5">
        <v>71</v>
      </c>
      <c r="I40" s="6" t="s">
        <v>12</v>
      </c>
      <c r="J40" s="6" t="s">
        <v>49</v>
      </c>
      <c r="L40">
        <v>14</v>
      </c>
      <c r="M40">
        <v>8</v>
      </c>
      <c r="N40">
        <v>350</v>
      </c>
      <c r="O40">
        <v>165</v>
      </c>
      <c r="P40">
        <v>4209</v>
      </c>
      <c r="Q40">
        <v>12</v>
      </c>
      <c r="R40">
        <v>71</v>
      </c>
      <c r="S40" t="s">
        <v>12</v>
      </c>
      <c r="T40" t="s">
        <v>19</v>
      </c>
    </row>
    <row r="41" spans="2:20" x14ac:dyDescent="0.3">
      <c r="B41" s="5">
        <v>14</v>
      </c>
      <c r="C41" s="5">
        <v>8</v>
      </c>
      <c r="D41" s="5">
        <v>350</v>
      </c>
      <c r="E41" s="5">
        <v>165</v>
      </c>
      <c r="F41" s="5">
        <v>4209</v>
      </c>
      <c r="G41" s="4">
        <v>12</v>
      </c>
      <c r="H41" s="5">
        <v>71</v>
      </c>
      <c r="I41" s="6" t="s">
        <v>12</v>
      </c>
      <c r="J41" s="6" t="s">
        <v>19</v>
      </c>
      <c r="L41">
        <v>14</v>
      </c>
      <c r="M41">
        <v>8</v>
      </c>
      <c r="N41">
        <v>400</v>
      </c>
      <c r="O41">
        <v>175</v>
      </c>
      <c r="P41">
        <v>4464</v>
      </c>
      <c r="Q41">
        <v>11.5</v>
      </c>
      <c r="R41">
        <v>71</v>
      </c>
      <c r="S41" t="s">
        <v>12</v>
      </c>
      <c r="T41" t="s">
        <v>50</v>
      </c>
    </row>
    <row r="42" spans="2:20" x14ac:dyDescent="0.3">
      <c r="B42" s="5">
        <v>14</v>
      </c>
      <c r="C42" s="5">
        <v>8</v>
      </c>
      <c r="D42" s="5">
        <v>400</v>
      </c>
      <c r="E42" s="5">
        <v>175</v>
      </c>
      <c r="F42" s="5">
        <v>4464</v>
      </c>
      <c r="G42" s="4">
        <v>11.5</v>
      </c>
      <c r="H42" s="5">
        <v>71</v>
      </c>
      <c r="I42" s="6" t="s">
        <v>12</v>
      </c>
      <c r="J42" s="6" t="s">
        <v>50</v>
      </c>
      <c r="L42">
        <v>14</v>
      </c>
      <c r="M42">
        <v>8</v>
      </c>
      <c r="N42">
        <v>351</v>
      </c>
      <c r="O42">
        <v>153</v>
      </c>
      <c r="P42">
        <v>4154</v>
      </c>
      <c r="Q42">
        <v>13.5</v>
      </c>
      <c r="R42">
        <v>71</v>
      </c>
      <c r="S42" t="s">
        <v>12</v>
      </c>
      <c r="T42" t="s">
        <v>18</v>
      </c>
    </row>
    <row r="43" spans="2:20" x14ac:dyDescent="0.3">
      <c r="B43" s="5">
        <v>14</v>
      </c>
      <c r="C43" s="5">
        <v>8</v>
      </c>
      <c r="D43" s="5">
        <v>351</v>
      </c>
      <c r="E43" s="5">
        <v>153</v>
      </c>
      <c r="F43" s="5">
        <v>4154</v>
      </c>
      <c r="G43" s="4">
        <v>13.5</v>
      </c>
      <c r="H43" s="5">
        <v>71</v>
      </c>
      <c r="I43" s="6" t="s">
        <v>12</v>
      </c>
      <c r="J43" s="6" t="s">
        <v>18</v>
      </c>
      <c r="L43">
        <v>14</v>
      </c>
      <c r="M43">
        <v>8</v>
      </c>
      <c r="N43">
        <v>318</v>
      </c>
      <c r="O43">
        <v>150</v>
      </c>
      <c r="P43">
        <v>4096</v>
      </c>
      <c r="Q43">
        <v>13</v>
      </c>
      <c r="R43">
        <v>71</v>
      </c>
      <c r="S43" t="s">
        <v>12</v>
      </c>
      <c r="T43" t="s">
        <v>20</v>
      </c>
    </row>
    <row r="44" spans="2:20" x14ac:dyDescent="0.3">
      <c r="B44" s="5">
        <v>14</v>
      </c>
      <c r="C44" s="5">
        <v>8</v>
      </c>
      <c r="D44" s="5">
        <v>318</v>
      </c>
      <c r="E44" s="5">
        <v>150</v>
      </c>
      <c r="F44" s="5">
        <v>4096</v>
      </c>
      <c r="G44" s="4">
        <v>13</v>
      </c>
      <c r="H44" s="5">
        <v>71</v>
      </c>
      <c r="I44" s="6" t="s">
        <v>12</v>
      </c>
      <c r="J44" s="6" t="s">
        <v>20</v>
      </c>
      <c r="L44">
        <v>12</v>
      </c>
      <c r="M44">
        <v>8</v>
      </c>
      <c r="N44">
        <v>383</v>
      </c>
      <c r="O44">
        <v>180</v>
      </c>
      <c r="P44">
        <v>4955</v>
      </c>
      <c r="Q44">
        <v>11.5</v>
      </c>
      <c r="R44">
        <v>71</v>
      </c>
      <c r="S44" t="s">
        <v>12</v>
      </c>
      <c r="T44" t="s">
        <v>51</v>
      </c>
    </row>
    <row r="45" spans="2:20" x14ac:dyDescent="0.3">
      <c r="B45" s="5">
        <v>12</v>
      </c>
      <c r="C45" s="5">
        <v>8</v>
      </c>
      <c r="D45" s="5">
        <v>383</v>
      </c>
      <c r="E45" s="5">
        <v>180</v>
      </c>
      <c r="F45" s="5">
        <v>4955</v>
      </c>
      <c r="G45" s="4">
        <v>11.5</v>
      </c>
      <c r="H45" s="5">
        <v>71</v>
      </c>
      <c r="I45" s="6" t="s">
        <v>12</v>
      </c>
      <c r="J45" s="6" t="s">
        <v>51</v>
      </c>
      <c r="L45">
        <v>13</v>
      </c>
      <c r="M45">
        <v>8</v>
      </c>
      <c r="N45">
        <v>400</v>
      </c>
      <c r="O45">
        <v>170</v>
      </c>
      <c r="P45">
        <v>4746</v>
      </c>
      <c r="Q45">
        <v>12</v>
      </c>
      <c r="R45">
        <v>71</v>
      </c>
      <c r="S45" t="s">
        <v>12</v>
      </c>
      <c r="T45" t="s">
        <v>52</v>
      </c>
    </row>
    <row r="46" spans="2:20" x14ac:dyDescent="0.3">
      <c r="B46" s="5">
        <v>13</v>
      </c>
      <c r="C46" s="5">
        <v>8</v>
      </c>
      <c r="D46" s="5">
        <v>400</v>
      </c>
      <c r="E46" s="5">
        <v>170</v>
      </c>
      <c r="F46" s="5">
        <v>4746</v>
      </c>
      <c r="G46" s="4">
        <v>12</v>
      </c>
      <c r="H46" s="5">
        <v>71</v>
      </c>
      <c r="I46" s="6" t="s">
        <v>12</v>
      </c>
      <c r="J46" s="6" t="s">
        <v>52</v>
      </c>
      <c r="L46">
        <v>13</v>
      </c>
      <c r="M46">
        <v>8</v>
      </c>
      <c r="N46">
        <v>400</v>
      </c>
      <c r="O46">
        <v>175</v>
      </c>
      <c r="P46">
        <v>5140</v>
      </c>
      <c r="Q46">
        <v>12</v>
      </c>
      <c r="R46">
        <v>71</v>
      </c>
      <c r="S46" t="s">
        <v>12</v>
      </c>
      <c r="T46" t="s">
        <v>53</v>
      </c>
    </row>
    <row r="47" spans="2:20" x14ac:dyDescent="0.3">
      <c r="B47" s="5">
        <v>13</v>
      </c>
      <c r="C47" s="5">
        <v>8</v>
      </c>
      <c r="D47" s="5">
        <v>400</v>
      </c>
      <c r="E47" s="5">
        <v>175</v>
      </c>
      <c r="F47" s="5">
        <v>5140</v>
      </c>
      <c r="G47" s="4">
        <v>12</v>
      </c>
      <c r="H47" s="5">
        <v>71</v>
      </c>
      <c r="I47" s="6" t="s">
        <v>12</v>
      </c>
      <c r="J47" s="6" t="s">
        <v>53</v>
      </c>
      <c r="L47">
        <v>18</v>
      </c>
      <c r="M47">
        <v>6</v>
      </c>
      <c r="N47">
        <v>258</v>
      </c>
      <c r="O47">
        <v>110</v>
      </c>
      <c r="P47">
        <v>2962</v>
      </c>
      <c r="Q47">
        <v>13.5</v>
      </c>
      <c r="R47">
        <v>71</v>
      </c>
      <c r="S47" t="s">
        <v>12</v>
      </c>
      <c r="T47" t="s">
        <v>54</v>
      </c>
    </row>
    <row r="48" spans="2:20" x14ac:dyDescent="0.3">
      <c r="B48" s="5">
        <v>18</v>
      </c>
      <c r="C48" s="5">
        <v>6</v>
      </c>
      <c r="D48" s="5">
        <v>258</v>
      </c>
      <c r="E48" s="5">
        <v>110</v>
      </c>
      <c r="F48" s="5">
        <v>2962</v>
      </c>
      <c r="G48" s="4">
        <v>13.5</v>
      </c>
      <c r="H48" s="5">
        <v>71</v>
      </c>
      <c r="I48" s="6" t="s">
        <v>12</v>
      </c>
      <c r="J48" s="6" t="s">
        <v>54</v>
      </c>
      <c r="L48">
        <v>22</v>
      </c>
      <c r="M48">
        <v>4</v>
      </c>
      <c r="N48">
        <v>140</v>
      </c>
      <c r="O48">
        <v>72</v>
      </c>
      <c r="P48">
        <v>2408</v>
      </c>
      <c r="Q48">
        <v>19</v>
      </c>
      <c r="R48">
        <v>71</v>
      </c>
      <c r="S48" t="s">
        <v>12</v>
      </c>
      <c r="T48" t="s">
        <v>55</v>
      </c>
    </row>
    <row r="49" spans="2:20" x14ac:dyDescent="0.3">
      <c r="B49" s="5">
        <v>22</v>
      </c>
      <c r="C49" s="5">
        <v>4</v>
      </c>
      <c r="D49" s="5">
        <v>140</v>
      </c>
      <c r="E49" s="5">
        <v>72</v>
      </c>
      <c r="F49" s="5">
        <v>2408</v>
      </c>
      <c r="G49" s="4">
        <v>19</v>
      </c>
      <c r="H49" s="5">
        <v>71</v>
      </c>
      <c r="I49" s="6" t="s">
        <v>12</v>
      </c>
      <c r="J49" s="6" t="s">
        <v>55</v>
      </c>
      <c r="L49">
        <v>19</v>
      </c>
      <c r="M49">
        <v>6</v>
      </c>
      <c r="N49">
        <v>250</v>
      </c>
      <c r="O49">
        <v>100</v>
      </c>
      <c r="P49">
        <v>3282</v>
      </c>
      <c r="Q49">
        <v>15</v>
      </c>
      <c r="R49">
        <v>71</v>
      </c>
      <c r="S49" t="s">
        <v>12</v>
      </c>
      <c r="T49" t="s">
        <v>56</v>
      </c>
    </row>
    <row r="50" spans="2:20" x14ac:dyDescent="0.3">
      <c r="B50" s="5">
        <v>19</v>
      </c>
      <c r="C50" s="5">
        <v>6</v>
      </c>
      <c r="D50" s="5">
        <v>250</v>
      </c>
      <c r="E50" s="5">
        <v>100</v>
      </c>
      <c r="F50" s="5">
        <v>3282</v>
      </c>
      <c r="G50" s="4">
        <v>15</v>
      </c>
      <c r="H50" s="5">
        <v>71</v>
      </c>
      <c r="I50" s="6" t="s">
        <v>12</v>
      </c>
      <c r="J50" s="6" t="s">
        <v>56</v>
      </c>
      <c r="L50">
        <v>18</v>
      </c>
      <c r="M50">
        <v>6</v>
      </c>
      <c r="N50">
        <v>250</v>
      </c>
      <c r="O50">
        <v>88</v>
      </c>
      <c r="P50">
        <v>3139</v>
      </c>
      <c r="Q50">
        <v>14.5</v>
      </c>
      <c r="R50">
        <v>71</v>
      </c>
      <c r="S50" t="s">
        <v>12</v>
      </c>
      <c r="T50" t="s">
        <v>57</v>
      </c>
    </row>
    <row r="51" spans="2:20" x14ac:dyDescent="0.3">
      <c r="B51" s="5">
        <v>18</v>
      </c>
      <c r="C51" s="5">
        <v>6</v>
      </c>
      <c r="D51" s="5">
        <v>250</v>
      </c>
      <c r="E51" s="5">
        <v>88</v>
      </c>
      <c r="F51" s="5">
        <v>3139</v>
      </c>
      <c r="G51" s="4">
        <v>14.5</v>
      </c>
      <c r="H51" s="5">
        <v>71</v>
      </c>
      <c r="I51" s="6" t="s">
        <v>12</v>
      </c>
      <c r="J51" s="6" t="s">
        <v>57</v>
      </c>
      <c r="L51">
        <v>23</v>
      </c>
      <c r="M51">
        <v>4</v>
      </c>
      <c r="N51">
        <v>122</v>
      </c>
      <c r="O51">
        <v>86</v>
      </c>
      <c r="P51">
        <v>2220</v>
      </c>
      <c r="Q51">
        <v>14</v>
      </c>
      <c r="R51">
        <v>71</v>
      </c>
      <c r="S51" t="s">
        <v>12</v>
      </c>
      <c r="T51" t="s">
        <v>58</v>
      </c>
    </row>
    <row r="52" spans="2:20" x14ac:dyDescent="0.3">
      <c r="B52" s="5">
        <v>23</v>
      </c>
      <c r="C52" s="5">
        <v>4</v>
      </c>
      <c r="D52" s="5">
        <v>122</v>
      </c>
      <c r="E52" s="5">
        <v>86</v>
      </c>
      <c r="F52" s="5">
        <v>2220</v>
      </c>
      <c r="G52" s="4">
        <v>14</v>
      </c>
      <c r="H52" s="5">
        <v>71</v>
      </c>
      <c r="I52" s="6" t="s">
        <v>12</v>
      </c>
      <c r="J52" s="6" t="s">
        <v>58</v>
      </c>
      <c r="L52">
        <v>28</v>
      </c>
      <c r="M52">
        <v>4</v>
      </c>
      <c r="N52">
        <v>116</v>
      </c>
      <c r="O52">
        <v>90</v>
      </c>
      <c r="P52">
        <v>2123</v>
      </c>
      <c r="Q52">
        <v>14</v>
      </c>
      <c r="R52">
        <v>71</v>
      </c>
      <c r="S52" t="s">
        <v>33</v>
      </c>
      <c r="T52" t="s">
        <v>59</v>
      </c>
    </row>
    <row r="53" spans="2:20" x14ac:dyDescent="0.3">
      <c r="B53" s="5">
        <v>28</v>
      </c>
      <c r="C53" s="5">
        <v>4</v>
      </c>
      <c r="D53" s="5">
        <v>116</v>
      </c>
      <c r="E53" s="5">
        <v>90</v>
      </c>
      <c r="F53" s="5">
        <v>2123</v>
      </c>
      <c r="G53" s="4">
        <v>14</v>
      </c>
      <c r="H53" s="5">
        <v>71</v>
      </c>
      <c r="I53" s="6" t="s">
        <v>33</v>
      </c>
      <c r="J53" s="6" t="s">
        <v>59</v>
      </c>
      <c r="L53">
        <v>30</v>
      </c>
      <c r="M53">
        <v>4</v>
      </c>
      <c r="N53">
        <v>79</v>
      </c>
      <c r="O53">
        <v>70</v>
      </c>
      <c r="P53">
        <v>2074</v>
      </c>
      <c r="Q53">
        <v>19.5</v>
      </c>
      <c r="R53">
        <v>71</v>
      </c>
      <c r="S53" t="s">
        <v>33</v>
      </c>
      <c r="T53" t="s">
        <v>60</v>
      </c>
    </row>
    <row r="54" spans="2:20" x14ac:dyDescent="0.3">
      <c r="B54" s="5">
        <v>30</v>
      </c>
      <c r="C54" s="5">
        <v>4</v>
      </c>
      <c r="D54" s="5">
        <v>79</v>
      </c>
      <c r="E54" s="5">
        <v>70</v>
      </c>
      <c r="F54" s="5">
        <v>2074</v>
      </c>
      <c r="G54" s="4">
        <v>19.5</v>
      </c>
      <c r="H54" s="5">
        <v>71</v>
      </c>
      <c r="I54" s="6" t="s">
        <v>33</v>
      </c>
      <c r="J54" s="6" t="s">
        <v>60</v>
      </c>
      <c r="L54">
        <v>30</v>
      </c>
      <c r="M54">
        <v>4</v>
      </c>
      <c r="N54">
        <v>88</v>
      </c>
      <c r="O54">
        <v>76</v>
      </c>
      <c r="P54">
        <v>2065</v>
      </c>
      <c r="Q54">
        <v>14.5</v>
      </c>
      <c r="R54">
        <v>71</v>
      </c>
      <c r="S54" t="s">
        <v>33</v>
      </c>
      <c r="T54" t="s">
        <v>61</v>
      </c>
    </row>
    <row r="55" spans="2:20" x14ac:dyDescent="0.3">
      <c r="B55" s="5">
        <v>30</v>
      </c>
      <c r="C55" s="5">
        <v>4</v>
      </c>
      <c r="D55" s="5">
        <v>88</v>
      </c>
      <c r="E55" s="5">
        <v>76</v>
      </c>
      <c r="F55" s="5">
        <v>2065</v>
      </c>
      <c r="G55" s="4">
        <v>14.5</v>
      </c>
      <c r="H55" s="5">
        <v>71</v>
      </c>
      <c r="I55" s="6" t="s">
        <v>33</v>
      </c>
      <c r="J55" s="6" t="s">
        <v>61</v>
      </c>
      <c r="L55">
        <v>31</v>
      </c>
      <c r="M55">
        <v>4</v>
      </c>
      <c r="N55">
        <v>71</v>
      </c>
      <c r="O55">
        <v>65</v>
      </c>
      <c r="P55">
        <v>1773</v>
      </c>
      <c r="Q55">
        <v>19</v>
      </c>
      <c r="R55">
        <v>71</v>
      </c>
      <c r="S55" t="s">
        <v>27</v>
      </c>
      <c r="T55" t="s">
        <v>62</v>
      </c>
    </row>
    <row r="56" spans="2:20" x14ac:dyDescent="0.3">
      <c r="B56" s="5">
        <v>31</v>
      </c>
      <c r="C56" s="5">
        <v>4</v>
      </c>
      <c r="D56" s="5">
        <v>71</v>
      </c>
      <c r="E56" s="5">
        <v>65</v>
      </c>
      <c r="F56" s="5">
        <v>1773</v>
      </c>
      <c r="G56" s="4">
        <v>19</v>
      </c>
      <c r="H56" s="5">
        <v>71</v>
      </c>
      <c r="I56" s="6" t="s">
        <v>27</v>
      </c>
      <c r="J56" s="6" t="s">
        <v>62</v>
      </c>
      <c r="L56">
        <v>35</v>
      </c>
      <c r="M56">
        <v>4</v>
      </c>
      <c r="N56">
        <v>72</v>
      </c>
      <c r="O56">
        <v>69</v>
      </c>
      <c r="P56">
        <v>1613</v>
      </c>
      <c r="Q56">
        <v>18</v>
      </c>
      <c r="R56">
        <v>71</v>
      </c>
      <c r="S56" t="s">
        <v>27</v>
      </c>
      <c r="T56" t="s">
        <v>63</v>
      </c>
    </row>
    <row r="57" spans="2:20" x14ac:dyDescent="0.3">
      <c r="B57" s="5">
        <v>35</v>
      </c>
      <c r="C57" s="5">
        <v>4</v>
      </c>
      <c r="D57" s="5">
        <v>72</v>
      </c>
      <c r="E57" s="5">
        <v>69</v>
      </c>
      <c r="F57" s="5">
        <v>1613</v>
      </c>
      <c r="G57" s="4">
        <v>18</v>
      </c>
      <c r="H57" s="5">
        <v>71</v>
      </c>
      <c r="I57" s="6" t="s">
        <v>27</v>
      </c>
      <c r="J57" s="6" t="s">
        <v>63</v>
      </c>
      <c r="L57">
        <v>27</v>
      </c>
      <c r="M57">
        <v>4</v>
      </c>
      <c r="N57">
        <v>97</v>
      </c>
      <c r="O57">
        <v>60</v>
      </c>
      <c r="P57">
        <v>1834</v>
      </c>
      <c r="Q57">
        <v>19</v>
      </c>
      <c r="R57">
        <v>71</v>
      </c>
      <c r="S57" t="s">
        <v>33</v>
      </c>
      <c r="T57" t="s">
        <v>64</v>
      </c>
    </row>
    <row r="58" spans="2:20" x14ac:dyDescent="0.3">
      <c r="B58" s="5">
        <v>27</v>
      </c>
      <c r="C58" s="5">
        <v>4</v>
      </c>
      <c r="D58" s="5">
        <v>97</v>
      </c>
      <c r="E58" s="5">
        <v>60</v>
      </c>
      <c r="F58" s="5">
        <v>1834</v>
      </c>
      <c r="G58" s="4">
        <v>19</v>
      </c>
      <c r="H58" s="5">
        <v>71</v>
      </c>
      <c r="I58" s="6" t="s">
        <v>33</v>
      </c>
      <c r="J58" s="6" t="s">
        <v>64</v>
      </c>
      <c r="L58">
        <v>26</v>
      </c>
      <c r="M58">
        <v>4</v>
      </c>
      <c r="N58">
        <v>91</v>
      </c>
      <c r="O58">
        <v>70</v>
      </c>
      <c r="P58">
        <v>1955</v>
      </c>
      <c r="Q58">
        <v>20.5</v>
      </c>
      <c r="R58">
        <v>71</v>
      </c>
      <c r="S58" t="s">
        <v>12</v>
      </c>
      <c r="T58" t="s">
        <v>65</v>
      </c>
    </row>
    <row r="59" spans="2:20" x14ac:dyDescent="0.3">
      <c r="B59" s="5">
        <v>26</v>
      </c>
      <c r="C59" s="5">
        <v>4</v>
      </c>
      <c r="D59" s="5">
        <v>91</v>
      </c>
      <c r="E59" s="5">
        <v>70</v>
      </c>
      <c r="F59" s="5">
        <v>1955</v>
      </c>
      <c r="G59" s="4">
        <v>20.5</v>
      </c>
      <c r="H59" s="5">
        <v>71</v>
      </c>
      <c r="I59" s="6" t="s">
        <v>12</v>
      </c>
      <c r="J59" s="6" t="s">
        <v>65</v>
      </c>
      <c r="L59">
        <v>24</v>
      </c>
      <c r="M59">
        <v>4</v>
      </c>
      <c r="N59">
        <v>113</v>
      </c>
      <c r="O59">
        <v>95</v>
      </c>
      <c r="P59">
        <v>2278</v>
      </c>
      <c r="Q59">
        <v>15.5</v>
      </c>
      <c r="R59">
        <v>72</v>
      </c>
      <c r="S59" t="s">
        <v>27</v>
      </c>
      <c r="T59" t="s">
        <v>66</v>
      </c>
    </row>
    <row r="60" spans="2:20" x14ac:dyDescent="0.3">
      <c r="B60" s="5">
        <v>24</v>
      </c>
      <c r="C60" s="5">
        <v>4</v>
      </c>
      <c r="D60" s="5">
        <v>113</v>
      </c>
      <c r="E60" s="5">
        <v>95</v>
      </c>
      <c r="F60" s="5">
        <v>2278</v>
      </c>
      <c r="G60" s="4">
        <v>15.5</v>
      </c>
      <c r="H60" s="5">
        <v>72</v>
      </c>
      <c r="I60" s="6" t="s">
        <v>27</v>
      </c>
      <c r="J60" s="6" t="s">
        <v>66</v>
      </c>
      <c r="L60">
        <v>25</v>
      </c>
      <c r="M60">
        <v>4</v>
      </c>
      <c r="N60">
        <v>97.5</v>
      </c>
      <c r="O60">
        <v>80</v>
      </c>
      <c r="P60">
        <v>2126</v>
      </c>
      <c r="Q60">
        <v>17</v>
      </c>
      <c r="R60">
        <v>72</v>
      </c>
      <c r="S60" t="s">
        <v>12</v>
      </c>
      <c r="T60" t="s">
        <v>67</v>
      </c>
    </row>
    <row r="61" spans="2:20" x14ac:dyDescent="0.3">
      <c r="B61" s="5">
        <v>25</v>
      </c>
      <c r="C61" s="5">
        <v>4</v>
      </c>
      <c r="D61" s="5">
        <v>97.5</v>
      </c>
      <c r="E61" s="5">
        <v>80</v>
      </c>
      <c r="F61" s="5">
        <v>2126</v>
      </c>
      <c r="G61" s="4">
        <v>17</v>
      </c>
      <c r="H61" s="5">
        <v>72</v>
      </c>
      <c r="I61" s="6" t="s">
        <v>12</v>
      </c>
      <c r="J61" s="6" t="s">
        <v>67</v>
      </c>
      <c r="L61">
        <v>23</v>
      </c>
      <c r="M61">
        <v>4</v>
      </c>
      <c r="N61">
        <v>97</v>
      </c>
      <c r="O61">
        <v>54</v>
      </c>
      <c r="P61">
        <v>2254</v>
      </c>
      <c r="Q61">
        <v>23.5</v>
      </c>
      <c r="R61">
        <v>72</v>
      </c>
      <c r="S61" t="s">
        <v>33</v>
      </c>
      <c r="T61" t="s">
        <v>68</v>
      </c>
    </row>
    <row r="62" spans="2:20" x14ac:dyDescent="0.3">
      <c r="B62" s="5">
        <v>23</v>
      </c>
      <c r="C62" s="5">
        <v>4</v>
      </c>
      <c r="D62" s="5">
        <v>97</v>
      </c>
      <c r="E62" s="5">
        <v>54</v>
      </c>
      <c r="F62" s="5">
        <v>2254</v>
      </c>
      <c r="G62" s="4">
        <v>23.5</v>
      </c>
      <c r="H62" s="5">
        <v>72</v>
      </c>
      <c r="I62" s="6" t="s">
        <v>33</v>
      </c>
      <c r="J62" s="6" t="s">
        <v>68</v>
      </c>
      <c r="L62">
        <v>20</v>
      </c>
      <c r="M62">
        <v>4</v>
      </c>
      <c r="N62">
        <v>140</v>
      </c>
      <c r="O62">
        <v>90</v>
      </c>
      <c r="P62">
        <v>2408</v>
      </c>
      <c r="Q62">
        <v>19.5</v>
      </c>
      <c r="R62">
        <v>72</v>
      </c>
      <c r="S62" t="s">
        <v>12</v>
      </c>
      <c r="T62" t="s">
        <v>69</v>
      </c>
    </row>
    <row r="63" spans="2:20" x14ac:dyDescent="0.3">
      <c r="B63" s="5">
        <v>20</v>
      </c>
      <c r="C63" s="5">
        <v>4</v>
      </c>
      <c r="D63" s="5">
        <v>140</v>
      </c>
      <c r="E63" s="5">
        <v>90</v>
      </c>
      <c r="F63" s="5">
        <v>2408</v>
      </c>
      <c r="G63" s="4">
        <v>19.5</v>
      </c>
      <c r="H63" s="5">
        <v>72</v>
      </c>
      <c r="I63" s="6" t="s">
        <v>12</v>
      </c>
      <c r="J63" s="6" t="s">
        <v>69</v>
      </c>
      <c r="L63">
        <v>21</v>
      </c>
      <c r="M63">
        <v>4</v>
      </c>
      <c r="N63">
        <v>122</v>
      </c>
      <c r="O63">
        <v>86</v>
      </c>
      <c r="P63">
        <v>2226</v>
      </c>
      <c r="Q63">
        <v>16.5</v>
      </c>
      <c r="R63">
        <v>72</v>
      </c>
      <c r="S63" t="s">
        <v>12</v>
      </c>
      <c r="T63" t="s">
        <v>70</v>
      </c>
    </row>
    <row r="64" spans="2:20" x14ac:dyDescent="0.3">
      <c r="B64" s="5">
        <v>21</v>
      </c>
      <c r="C64" s="5">
        <v>4</v>
      </c>
      <c r="D64" s="5">
        <v>122</v>
      </c>
      <c r="E64" s="5">
        <v>86</v>
      </c>
      <c r="F64" s="5">
        <v>2226</v>
      </c>
      <c r="G64" s="4">
        <v>16.5</v>
      </c>
      <c r="H64" s="5">
        <v>72</v>
      </c>
      <c r="I64" s="6" t="s">
        <v>12</v>
      </c>
      <c r="J64" s="6" t="s">
        <v>70</v>
      </c>
      <c r="L64">
        <v>13</v>
      </c>
      <c r="M64">
        <v>8</v>
      </c>
      <c r="N64">
        <v>350</v>
      </c>
      <c r="O64">
        <v>165</v>
      </c>
      <c r="P64">
        <v>4274</v>
      </c>
      <c r="Q64">
        <v>12</v>
      </c>
      <c r="R64">
        <v>72</v>
      </c>
      <c r="S64" t="s">
        <v>12</v>
      </c>
      <c r="T64" t="s">
        <v>19</v>
      </c>
    </row>
    <row r="65" spans="2:20" x14ac:dyDescent="0.3">
      <c r="B65" s="5">
        <v>13</v>
      </c>
      <c r="C65" s="5">
        <v>8</v>
      </c>
      <c r="D65" s="5">
        <v>350</v>
      </c>
      <c r="E65" s="5">
        <v>165</v>
      </c>
      <c r="F65" s="5">
        <v>4274</v>
      </c>
      <c r="G65" s="4">
        <v>12</v>
      </c>
      <c r="H65" s="5">
        <v>72</v>
      </c>
      <c r="I65" s="6" t="s">
        <v>12</v>
      </c>
      <c r="J65" s="6" t="s">
        <v>19</v>
      </c>
      <c r="L65">
        <v>14</v>
      </c>
      <c r="M65">
        <v>8</v>
      </c>
      <c r="N65">
        <v>400</v>
      </c>
      <c r="O65">
        <v>175</v>
      </c>
      <c r="P65">
        <v>4385</v>
      </c>
      <c r="Q65">
        <v>12</v>
      </c>
      <c r="R65">
        <v>72</v>
      </c>
      <c r="S65" t="s">
        <v>12</v>
      </c>
      <c r="T65" t="s">
        <v>21</v>
      </c>
    </row>
    <row r="66" spans="2:20" x14ac:dyDescent="0.3">
      <c r="B66" s="5">
        <v>14</v>
      </c>
      <c r="C66" s="5">
        <v>8</v>
      </c>
      <c r="D66" s="5">
        <v>400</v>
      </c>
      <c r="E66" s="5">
        <v>175</v>
      </c>
      <c r="F66" s="5">
        <v>4385</v>
      </c>
      <c r="G66" s="4">
        <v>12</v>
      </c>
      <c r="H66" s="5">
        <v>72</v>
      </c>
      <c r="I66" s="6" t="s">
        <v>12</v>
      </c>
      <c r="J66" s="6" t="s">
        <v>21</v>
      </c>
      <c r="L66">
        <v>15</v>
      </c>
      <c r="M66">
        <v>8</v>
      </c>
      <c r="N66">
        <v>318</v>
      </c>
      <c r="O66">
        <v>150</v>
      </c>
      <c r="P66">
        <v>4135</v>
      </c>
      <c r="Q66">
        <v>13.5</v>
      </c>
      <c r="R66">
        <v>72</v>
      </c>
      <c r="S66" t="s">
        <v>12</v>
      </c>
      <c r="T66" t="s">
        <v>20</v>
      </c>
    </row>
    <row r="67" spans="2:20" x14ac:dyDescent="0.3">
      <c r="B67" s="5">
        <v>15</v>
      </c>
      <c r="C67" s="5">
        <v>8</v>
      </c>
      <c r="D67" s="5">
        <v>318</v>
      </c>
      <c r="E67" s="5">
        <v>150</v>
      </c>
      <c r="F67" s="5">
        <v>4135</v>
      </c>
      <c r="G67" s="4">
        <v>13.5</v>
      </c>
      <c r="H67" s="5">
        <v>72</v>
      </c>
      <c r="I67" s="6" t="s">
        <v>12</v>
      </c>
      <c r="J67" s="6" t="s">
        <v>20</v>
      </c>
      <c r="L67">
        <v>14</v>
      </c>
      <c r="M67">
        <v>8</v>
      </c>
      <c r="N67">
        <v>351</v>
      </c>
      <c r="O67">
        <v>153</v>
      </c>
      <c r="P67">
        <v>4129</v>
      </c>
      <c r="Q67">
        <v>13</v>
      </c>
      <c r="R67">
        <v>72</v>
      </c>
      <c r="S67" t="s">
        <v>12</v>
      </c>
      <c r="T67" t="s">
        <v>18</v>
      </c>
    </row>
    <row r="68" spans="2:20" x14ac:dyDescent="0.3">
      <c r="B68" s="5">
        <v>14</v>
      </c>
      <c r="C68" s="5">
        <v>8</v>
      </c>
      <c r="D68" s="5">
        <v>351</v>
      </c>
      <c r="E68" s="5">
        <v>153</v>
      </c>
      <c r="F68" s="5">
        <v>4129</v>
      </c>
      <c r="G68" s="4">
        <v>13</v>
      </c>
      <c r="H68" s="5">
        <v>72</v>
      </c>
      <c r="I68" s="6" t="s">
        <v>12</v>
      </c>
      <c r="J68" s="6" t="s">
        <v>18</v>
      </c>
      <c r="L68">
        <v>17</v>
      </c>
      <c r="M68">
        <v>8</v>
      </c>
      <c r="N68">
        <v>304</v>
      </c>
      <c r="O68">
        <v>150</v>
      </c>
      <c r="P68">
        <v>3672</v>
      </c>
      <c r="Q68">
        <v>11.5</v>
      </c>
      <c r="R68">
        <v>72</v>
      </c>
      <c r="S68" t="s">
        <v>12</v>
      </c>
      <c r="T68" t="s">
        <v>71</v>
      </c>
    </row>
    <row r="69" spans="2:20" x14ac:dyDescent="0.3">
      <c r="B69" s="5">
        <v>17</v>
      </c>
      <c r="C69" s="5">
        <v>8</v>
      </c>
      <c r="D69" s="5">
        <v>304</v>
      </c>
      <c r="E69" s="5">
        <v>150</v>
      </c>
      <c r="F69" s="5">
        <v>3672</v>
      </c>
      <c r="G69" s="4">
        <v>11.5</v>
      </c>
      <c r="H69" s="5">
        <v>72</v>
      </c>
      <c r="I69" s="6" t="s">
        <v>12</v>
      </c>
      <c r="J69" s="6" t="s">
        <v>71</v>
      </c>
      <c r="L69">
        <v>11</v>
      </c>
      <c r="M69">
        <v>8</v>
      </c>
      <c r="N69">
        <v>429</v>
      </c>
      <c r="O69">
        <v>208</v>
      </c>
      <c r="P69">
        <v>4633</v>
      </c>
      <c r="Q69">
        <v>11</v>
      </c>
      <c r="R69">
        <v>72</v>
      </c>
      <c r="S69" t="s">
        <v>12</v>
      </c>
      <c r="T69" t="s">
        <v>72</v>
      </c>
    </row>
    <row r="70" spans="2:20" x14ac:dyDescent="0.3">
      <c r="B70" s="5">
        <v>11</v>
      </c>
      <c r="C70" s="5">
        <v>8</v>
      </c>
      <c r="D70" s="5">
        <v>429</v>
      </c>
      <c r="E70" s="5">
        <v>208</v>
      </c>
      <c r="F70" s="5">
        <v>4633</v>
      </c>
      <c r="G70" s="4">
        <v>11</v>
      </c>
      <c r="H70" s="5">
        <v>72</v>
      </c>
      <c r="I70" s="6" t="s">
        <v>12</v>
      </c>
      <c r="J70" s="6" t="s">
        <v>72</v>
      </c>
      <c r="L70">
        <v>13</v>
      </c>
      <c r="M70">
        <v>8</v>
      </c>
      <c r="N70">
        <v>350</v>
      </c>
      <c r="O70">
        <v>155</v>
      </c>
      <c r="P70">
        <v>4502</v>
      </c>
      <c r="Q70">
        <v>13.5</v>
      </c>
      <c r="R70">
        <v>72</v>
      </c>
      <c r="S70" t="s">
        <v>12</v>
      </c>
      <c r="T70" t="s">
        <v>73</v>
      </c>
    </row>
    <row r="71" spans="2:20" x14ac:dyDescent="0.3">
      <c r="B71" s="5">
        <v>13</v>
      </c>
      <c r="C71" s="5">
        <v>8</v>
      </c>
      <c r="D71" s="5">
        <v>350</v>
      </c>
      <c r="E71" s="5">
        <v>155</v>
      </c>
      <c r="F71" s="5">
        <v>4502</v>
      </c>
      <c r="G71" s="4">
        <v>13.5</v>
      </c>
      <c r="H71" s="5">
        <v>72</v>
      </c>
      <c r="I71" s="6" t="s">
        <v>12</v>
      </c>
      <c r="J71" s="6" t="s">
        <v>73</v>
      </c>
      <c r="L71">
        <v>12</v>
      </c>
      <c r="M71">
        <v>8</v>
      </c>
      <c r="N71">
        <v>350</v>
      </c>
      <c r="O71">
        <v>160</v>
      </c>
      <c r="P71">
        <v>4456</v>
      </c>
      <c r="Q71">
        <v>13.5</v>
      </c>
      <c r="R71">
        <v>72</v>
      </c>
      <c r="S71" t="s">
        <v>12</v>
      </c>
      <c r="T71" t="s">
        <v>74</v>
      </c>
    </row>
    <row r="72" spans="2:20" x14ac:dyDescent="0.3">
      <c r="B72" s="5">
        <v>12</v>
      </c>
      <c r="C72" s="5">
        <v>8</v>
      </c>
      <c r="D72" s="5">
        <v>350</v>
      </c>
      <c r="E72" s="5">
        <v>160</v>
      </c>
      <c r="F72" s="5">
        <v>4456</v>
      </c>
      <c r="G72" s="4">
        <v>13.5</v>
      </c>
      <c r="H72" s="5">
        <v>72</v>
      </c>
      <c r="I72" s="6" t="s">
        <v>12</v>
      </c>
      <c r="J72" s="6" t="s">
        <v>74</v>
      </c>
      <c r="L72">
        <v>13</v>
      </c>
      <c r="M72">
        <v>8</v>
      </c>
      <c r="N72">
        <v>400</v>
      </c>
      <c r="O72">
        <v>190</v>
      </c>
      <c r="P72">
        <v>4422</v>
      </c>
      <c r="Q72">
        <v>12.5</v>
      </c>
      <c r="R72">
        <v>72</v>
      </c>
      <c r="S72" t="s">
        <v>12</v>
      </c>
      <c r="T72" t="s">
        <v>75</v>
      </c>
    </row>
    <row r="73" spans="2:20" x14ac:dyDescent="0.3">
      <c r="B73" s="5">
        <v>13</v>
      </c>
      <c r="C73" s="5">
        <v>8</v>
      </c>
      <c r="D73" s="5">
        <v>400</v>
      </c>
      <c r="E73" s="5">
        <v>190</v>
      </c>
      <c r="F73" s="5">
        <v>4422</v>
      </c>
      <c r="G73" s="4">
        <v>12.5</v>
      </c>
      <c r="H73" s="5">
        <v>72</v>
      </c>
      <c r="I73" s="6" t="s">
        <v>12</v>
      </c>
      <c r="J73" s="6" t="s">
        <v>75</v>
      </c>
      <c r="L73">
        <v>19</v>
      </c>
      <c r="M73">
        <v>3</v>
      </c>
      <c r="N73">
        <v>70</v>
      </c>
      <c r="O73">
        <v>97</v>
      </c>
      <c r="P73">
        <v>2330</v>
      </c>
      <c r="Q73">
        <v>13.5</v>
      </c>
      <c r="R73">
        <v>72</v>
      </c>
      <c r="S73" t="s">
        <v>27</v>
      </c>
      <c r="T73" t="s">
        <v>76</v>
      </c>
    </row>
    <row r="74" spans="2:20" x14ac:dyDescent="0.3">
      <c r="B74" s="5">
        <v>19</v>
      </c>
      <c r="C74" s="5">
        <v>3</v>
      </c>
      <c r="D74" s="5">
        <v>70</v>
      </c>
      <c r="E74" s="5">
        <v>97</v>
      </c>
      <c r="F74" s="5">
        <v>2330</v>
      </c>
      <c r="G74" s="4">
        <v>13.5</v>
      </c>
      <c r="H74" s="5">
        <v>72</v>
      </c>
      <c r="I74" s="6" t="s">
        <v>27</v>
      </c>
      <c r="J74" s="6" t="s">
        <v>76</v>
      </c>
      <c r="L74">
        <v>15</v>
      </c>
      <c r="M74">
        <v>8</v>
      </c>
      <c r="N74">
        <v>304</v>
      </c>
      <c r="O74">
        <v>150</v>
      </c>
      <c r="P74">
        <v>3892</v>
      </c>
      <c r="Q74">
        <v>12.5</v>
      </c>
      <c r="R74">
        <v>72</v>
      </c>
      <c r="S74" t="s">
        <v>12</v>
      </c>
      <c r="T74" t="s">
        <v>77</v>
      </c>
    </row>
    <row r="75" spans="2:20" x14ac:dyDescent="0.3">
      <c r="B75" s="5">
        <v>15</v>
      </c>
      <c r="C75" s="5">
        <v>8</v>
      </c>
      <c r="D75" s="5">
        <v>304</v>
      </c>
      <c r="E75" s="5">
        <v>150</v>
      </c>
      <c r="F75" s="5">
        <v>3892</v>
      </c>
      <c r="G75" s="4">
        <v>12.5</v>
      </c>
      <c r="H75" s="5">
        <v>72</v>
      </c>
      <c r="I75" s="6" t="s">
        <v>12</v>
      </c>
      <c r="J75" s="6" t="s">
        <v>77</v>
      </c>
      <c r="L75">
        <v>13</v>
      </c>
      <c r="M75">
        <v>8</v>
      </c>
      <c r="N75">
        <v>307</v>
      </c>
      <c r="O75">
        <v>130</v>
      </c>
      <c r="P75">
        <v>4098</v>
      </c>
      <c r="Q75">
        <v>14</v>
      </c>
      <c r="R75">
        <v>72</v>
      </c>
      <c r="S75" t="s">
        <v>12</v>
      </c>
      <c r="T75" t="s">
        <v>78</v>
      </c>
    </row>
    <row r="76" spans="2:20" x14ac:dyDescent="0.3">
      <c r="B76" s="5">
        <v>13</v>
      </c>
      <c r="C76" s="5">
        <v>8</v>
      </c>
      <c r="D76" s="5">
        <v>307</v>
      </c>
      <c r="E76" s="5">
        <v>130</v>
      </c>
      <c r="F76" s="5">
        <v>4098</v>
      </c>
      <c r="G76" s="4">
        <v>14</v>
      </c>
      <c r="H76" s="5">
        <v>72</v>
      </c>
      <c r="I76" s="6" t="s">
        <v>12</v>
      </c>
      <c r="J76" s="6" t="s">
        <v>78</v>
      </c>
      <c r="L76">
        <v>13</v>
      </c>
      <c r="M76">
        <v>8</v>
      </c>
      <c r="N76">
        <v>302</v>
      </c>
      <c r="O76">
        <v>140</v>
      </c>
      <c r="P76">
        <v>4294</v>
      </c>
      <c r="Q76">
        <v>16</v>
      </c>
      <c r="R76">
        <v>72</v>
      </c>
      <c r="S76" t="s">
        <v>12</v>
      </c>
      <c r="T76" t="s">
        <v>79</v>
      </c>
    </row>
    <row r="77" spans="2:20" x14ac:dyDescent="0.3">
      <c r="B77" s="5">
        <v>13</v>
      </c>
      <c r="C77" s="5">
        <v>8</v>
      </c>
      <c r="D77" s="5">
        <v>302</v>
      </c>
      <c r="E77" s="5">
        <v>140</v>
      </c>
      <c r="F77" s="5">
        <v>4294</v>
      </c>
      <c r="G77" s="4">
        <v>16</v>
      </c>
      <c r="H77" s="5">
        <v>72</v>
      </c>
      <c r="I77" s="6" t="s">
        <v>12</v>
      </c>
      <c r="J77" s="6" t="s">
        <v>79</v>
      </c>
      <c r="L77">
        <v>14</v>
      </c>
      <c r="M77">
        <v>8</v>
      </c>
      <c r="N77">
        <v>318</v>
      </c>
      <c r="O77">
        <v>150</v>
      </c>
      <c r="P77">
        <v>4077</v>
      </c>
      <c r="Q77">
        <v>14</v>
      </c>
      <c r="R77">
        <v>72</v>
      </c>
      <c r="S77" t="s">
        <v>12</v>
      </c>
      <c r="T77" t="s">
        <v>80</v>
      </c>
    </row>
    <row r="78" spans="2:20" x14ac:dyDescent="0.3">
      <c r="B78" s="5">
        <v>14</v>
      </c>
      <c r="C78" s="5">
        <v>8</v>
      </c>
      <c r="D78" s="5">
        <v>318</v>
      </c>
      <c r="E78" s="5">
        <v>150</v>
      </c>
      <c r="F78" s="5">
        <v>4077</v>
      </c>
      <c r="G78" s="4">
        <v>14</v>
      </c>
      <c r="H78" s="5">
        <v>72</v>
      </c>
      <c r="I78" s="6" t="s">
        <v>12</v>
      </c>
      <c r="J78" s="6" t="s">
        <v>80</v>
      </c>
      <c r="L78">
        <v>18</v>
      </c>
      <c r="M78">
        <v>4</v>
      </c>
      <c r="N78">
        <v>121</v>
      </c>
      <c r="O78">
        <v>112</v>
      </c>
      <c r="P78">
        <v>2933</v>
      </c>
      <c r="Q78">
        <v>14.5</v>
      </c>
      <c r="R78">
        <v>72</v>
      </c>
      <c r="S78" t="s">
        <v>33</v>
      </c>
      <c r="T78" t="s">
        <v>81</v>
      </c>
    </row>
    <row r="79" spans="2:20" x14ac:dyDescent="0.3">
      <c r="B79" s="5">
        <v>18</v>
      </c>
      <c r="C79" s="5">
        <v>4</v>
      </c>
      <c r="D79" s="5">
        <v>121</v>
      </c>
      <c r="E79" s="5">
        <v>112</v>
      </c>
      <c r="F79" s="5">
        <v>2933</v>
      </c>
      <c r="G79" s="4">
        <v>14.5</v>
      </c>
      <c r="H79" s="5">
        <v>72</v>
      </c>
      <c r="I79" s="6" t="s">
        <v>33</v>
      </c>
      <c r="J79" s="6" t="s">
        <v>81</v>
      </c>
      <c r="L79">
        <v>22</v>
      </c>
      <c r="M79">
        <v>4</v>
      </c>
      <c r="N79">
        <v>121</v>
      </c>
      <c r="O79">
        <v>76</v>
      </c>
      <c r="P79">
        <v>2511</v>
      </c>
      <c r="Q79">
        <v>18</v>
      </c>
      <c r="R79">
        <v>72</v>
      </c>
      <c r="S79" t="s">
        <v>33</v>
      </c>
      <c r="T79" t="s">
        <v>82</v>
      </c>
    </row>
    <row r="80" spans="2:20" x14ac:dyDescent="0.3">
      <c r="B80" s="5">
        <v>22</v>
      </c>
      <c r="C80" s="5">
        <v>4</v>
      </c>
      <c r="D80" s="5">
        <v>121</v>
      </c>
      <c r="E80" s="5">
        <v>76</v>
      </c>
      <c r="F80" s="5">
        <v>2511</v>
      </c>
      <c r="G80" s="4">
        <v>18</v>
      </c>
      <c r="H80" s="5">
        <v>72</v>
      </c>
      <c r="I80" s="6" t="s">
        <v>33</v>
      </c>
      <c r="J80" s="6" t="s">
        <v>82</v>
      </c>
      <c r="L80">
        <v>21</v>
      </c>
      <c r="M80">
        <v>4</v>
      </c>
      <c r="N80">
        <v>120</v>
      </c>
      <c r="O80">
        <v>87</v>
      </c>
      <c r="P80">
        <v>2979</v>
      </c>
      <c r="Q80">
        <v>19.5</v>
      </c>
      <c r="R80">
        <v>72</v>
      </c>
      <c r="S80" t="s">
        <v>33</v>
      </c>
      <c r="T80" t="s">
        <v>83</v>
      </c>
    </row>
    <row r="81" spans="2:20" x14ac:dyDescent="0.3">
      <c r="B81" s="5">
        <v>21</v>
      </c>
      <c r="C81" s="5">
        <v>4</v>
      </c>
      <c r="D81" s="5">
        <v>120</v>
      </c>
      <c r="E81" s="5">
        <v>87</v>
      </c>
      <c r="F81" s="5">
        <v>2979</v>
      </c>
      <c r="G81" s="4">
        <v>19.5</v>
      </c>
      <c r="H81" s="5">
        <v>72</v>
      </c>
      <c r="I81" s="6" t="s">
        <v>33</v>
      </c>
      <c r="J81" s="6" t="s">
        <v>83</v>
      </c>
      <c r="L81">
        <v>26</v>
      </c>
      <c r="M81">
        <v>4</v>
      </c>
      <c r="N81">
        <v>96</v>
      </c>
      <c r="O81">
        <v>69</v>
      </c>
      <c r="P81">
        <v>2189</v>
      </c>
      <c r="Q81">
        <v>18</v>
      </c>
      <c r="R81">
        <v>72</v>
      </c>
      <c r="S81" t="s">
        <v>33</v>
      </c>
      <c r="T81" t="s">
        <v>84</v>
      </c>
    </row>
    <row r="82" spans="2:20" x14ac:dyDescent="0.3">
      <c r="B82" s="5">
        <v>26</v>
      </c>
      <c r="C82" s="5">
        <v>4</v>
      </c>
      <c r="D82" s="5">
        <v>96</v>
      </c>
      <c r="E82" s="5">
        <v>69</v>
      </c>
      <c r="F82" s="5">
        <v>2189</v>
      </c>
      <c r="G82" s="4">
        <v>18</v>
      </c>
      <c r="H82" s="5">
        <v>72</v>
      </c>
      <c r="I82" s="6" t="s">
        <v>33</v>
      </c>
      <c r="J82" s="6" t="s">
        <v>84</v>
      </c>
      <c r="L82">
        <v>22</v>
      </c>
      <c r="M82">
        <v>4</v>
      </c>
      <c r="N82">
        <v>122</v>
      </c>
      <c r="O82">
        <v>86</v>
      </c>
      <c r="P82">
        <v>2395</v>
      </c>
      <c r="Q82">
        <v>16</v>
      </c>
      <c r="R82">
        <v>72</v>
      </c>
      <c r="S82" t="s">
        <v>12</v>
      </c>
      <c r="T82" t="s">
        <v>85</v>
      </c>
    </row>
    <row r="83" spans="2:20" x14ac:dyDescent="0.3">
      <c r="B83" s="5">
        <v>22</v>
      </c>
      <c r="C83" s="5">
        <v>4</v>
      </c>
      <c r="D83" s="5">
        <v>122</v>
      </c>
      <c r="E83" s="5">
        <v>86</v>
      </c>
      <c r="F83" s="5">
        <v>2395</v>
      </c>
      <c r="G83" s="4">
        <v>16</v>
      </c>
      <c r="H83" s="5">
        <v>72</v>
      </c>
      <c r="I83" s="6" t="s">
        <v>12</v>
      </c>
      <c r="J83" s="6" t="s">
        <v>85</v>
      </c>
      <c r="L83">
        <v>28</v>
      </c>
      <c r="M83">
        <v>4</v>
      </c>
      <c r="N83">
        <v>97</v>
      </c>
      <c r="O83">
        <v>92</v>
      </c>
      <c r="P83">
        <v>2288</v>
      </c>
      <c r="Q83">
        <v>17</v>
      </c>
      <c r="R83">
        <v>72</v>
      </c>
      <c r="S83" t="s">
        <v>27</v>
      </c>
      <c r="T83" t="s">
        <v>86</v>
      </c>
    </row>
    <row r="84" spans="2:20" x14ac:dyDescent="0.3">
      <c r="B84" s="5">
        <v>28</v>
      </c>
      <c r="C84" s="5">
        <v>4</v>
      </c>
      <c r="D84" s="5">
        <v>97</v>
      </c>
      <c r="E84" s="5">
        <v>92</v>
      </c>
      <c r="F84" s="5">
        <v>2288</v>
      </c>
      <c r="G84" s="4">
        <v>17</v>
      </c>
      <c r="H84" s="5">
        <v>72</v>
      </c>
      <c r="I84" s="6" t="s">
        <v>27</v>
      </c>
      <c r="J84" s="6" t="s">
        <v>86</v>
      </c>
      <c r="L84">
        <v>23</v>
      </c>
      <c r="M84">
        <v>4</v>
      </c>
      <c r="N84">
        <v>120</v>
      </c>
      <c r="O84">
        <v>97</v>
      </c>
      <c r="P84">
        <v>2506</v>
      </c>
      <c r="Q84">
        <v>14.5</v>
      </c>
      <c r="R84">
        <v>72</v>
      </c>
      <c r="S84" t="s">
        <v>27</v>
      </c>
      <c r="T84" t="s">
        <v>87</v>
      </c>
    </row>
    <row r="85" spans="2:20" x14ac:dyDescent="0.3">
      <c r="B85" s="5">
        <v>23</v>
      </c>
      <c r="C85" s="5">
        <v>4</v>
      </c>
      <c r="D85" s="5">
        <v>120</v>
      </c>
      <c r="E85" s="5">
        <v>97</v>
      </c>
      <c r="F85" s="5">
        <v>2506</v>
      </c>
      <c r="G85" s="4">
        <v>14.5</v>
      </c>
      <c r="H85" s="5">
        <v>72</v>
      </c>
      <c r="I85" s="6" t="s">
        <v>27</v>
      </c>
      <c r="J85" s="6" t="s">
        <v>87</v>
      </c>
      <c r="L85">
        <v>28</v>
      </c>
      <c r="M85">
        <v>4</v>
      </c>
      <c r="N85">
        <v>98</v>
      </c>
      <c r="O85">
        <v>80</v>
      </c>
      <c r="P85">
        <v>2164</v>
      </c>
      <c r="Q85">
        <v>15</v>
      </c>
      <c r="R85">
        <v>72</v>
      </c>
      <c r="S85" t="s">
        <v>12</v>
      </c>
      <c r="T85" t="s">
        <v>88</v>
      </c>
    </row>
    <row r="86" spans="2:20" x14ac:dyDescent="0.3">
      <c r="B86" s="5">
        <v>28</v>
      </c>
      <c r="C86" s="5">
        <v>4</v>
      </c>
      <c r="D86" s="5">
        <v>98</v>
      </c>
      <c r="E86" s="5">
        <v>80</v>
      </c>
      <c r="F86" s="5">
        <v>2164</v>
      </c>
      <c r="G86" s="4">
        <v>15</v>
      </c>
      <c r="H86" s="5">
        <v>72</v>
      </c>
      <c r="I86" s="6" t="s">
        <v>12</v>
      </c>
      <c r="J86" s="6" t="s">
        <v>88</v>
      </c>
      <c r="L86">
        <v>27</v>
      </c>
      <c r="M86">
        <v>4</v>
      </c>
      <c r="N86">
        <v>97</v>
      </c>
      <c r="O86">
        <v>88</v>
      </c>
      <c r="P86">
        <v>2100</v>
      </c>
      <c r="Q86">
        <v>16.5</v>
      </c>
      <c r="R86">
        <v>72</v>
      </c>
      <c r="S86" t="s">
        <v>27</v>
      </c>
      <c r="T86" t="s">
        <v>89</v>
      </c>
    </row>
    <row r="87" spans="2:20" x14ac:dyDescent="0.3">
      <c r="B87" s="5">
        <v>27</v>
      </c>
      <c r="C87" s="5">
        <v>4</v>
      </c>
      <c r="D87" s="5">
        <v>97</v>
      </c>
      <c r="E87" s="5">
        <v>88</v>
      </c>
      <c r="F87" s="5">
        <v>2100</v>
      </c>
      <c r="G87" s="4">
        <v>16.5</v>
      </c>
      <c r="H87" s="5">
        <v>72</v>
      </c>
      <c r="I87" s="6" t="s">
        <v>27</v>
      </c>
      <c r="J87" s="6" t="s">
        <v>89</v>
      </c>
      <c r="L87">
        <v>13</v>
      </c>
      <c r="M87">
        <v>8</v>
      </c>
      <c r="N87">
        <v>350</v>
      </c>
      <c r="O87">
        <v>175</v>
      </c>
      <c r="P87">
        <v>4100</v>
      </c>
      <c r="Q87">
        <v>13</v>
      </c>
      <c r="R87">
        <v>73</v>
      </c>
      <c r="S87" t="s">
        <v>12</v>
      </c>
      <c r="T87" t="s">
        <v>90</v>
      </c>
    </row>
    <row r="88" spans="2:20" x14ac:dyDescent="0.3">
      <c r="B88" s="5">
        <v>13</v>
      </c>
      <c r="C88" s="5">
        <v>8</v>
      </c>
      <c r="D88" s="5">
        <v>350</v>
      </c>
      <c r="E88" s="5">
        <v>175</v>
      </c>
      <c r="F88" s="5">
        <v>4100</v>
      </c>
      <c r="G88" s="4">
        <v>13</v>
      </c>
      <c r="H88" s="5">
        <v>73</v>
      </c>
      <c r="I88" s="6" t="s">
        <v>12</v>
      </c>
      <c r="J88" s="6" t="s">
        <v>90</v>
      </c>
      <c r="L88">
        <v>14</v>
      </c>
      <c r="M88">
        <v>8</v>
      </c>
      <c r="N88">
        <v>304</v>
      </c>
      <c r="O88">
        <v>150</v>
      </c>
      <c r="P88">
        <v>3672</v>
      </c>
      <c r="Q88">
        <v>11.5</v>
      </c>
      <c r="R88">
        <v>73</v>
      </c>
      <c r="S88" t="s">
        <v>12</v>
      </c>
      <c r="T88" t="s">
        <v>49</v>
      </c>
    </row>
    <row r="89" spans="2:20" x14ac:dyDescent="0.3">
      <c r="B89" s="5">
        <v>14</v>
      </c>
      <c r="C89" s="5">
        <v>8</v>
      </c>
      <c r="D89" s="5">
        <v>304</v>
      </c>
      <c r="E89" s="5">
        <v>150</v>
      </c>
      <c r="F89" s="5">
        <v>3672</v>
      </c>
      <c r="G89" s="4">
        <v>11.5</v>
      </c>
      <c r="H89" s="5">
        <v>73</v>
      </c>
      <c r="I89" s="6" t="s">
        <v>12</v>
      </c>
      <c r="J89" s="6" t="s">
        <v>49</v>
      </c>
      <c r="L89">
        <v>13</v>
      </c>
      <c r="M89">
        <v>8</v>
      </c>
      <c r="N89">
        <v>350</v>
      </c>
      <c r="O89">
        <v>145</v>
      </c>
      <c r="P89">
        <v>3988</v>
      </c>
      <c r="Q89">
        <v>13</v>
      </c>
      <c r="R89">
        <v>73</v>
      </c>
      <c r="S89" t="s">
        <v>12</v>
      </c>
      <c r="T89" t="s">
        <v>91</v>
      </c>
    </row>
    <row r="90" spans="2:20" x14ac:dyDescent="0.3">
      <c r="B90" s="5">
        <v>13</v>
      </c>
      <c r="C90" s="5">
        <v>8</v>
      </c>
      <c r="D90" s="5">
        <v>350</v>
      </c>
      <c r="E90" s="5">
        <v>145</v>
      </c>
      <c r="F90" s="5">
        <v>3988</v>
      </c>
      <c r="G90" s="4">
        <v>13</v>
      </c>
      <c r="H90" s="5">
        <v>73</v>
      </c>
      <c r="I90" s="6" t="s">
        <v>12</v>
      </c>
      <c r="J90" s="6" t="s">
        <v>91</v>
      </c>
      <c r="L90">
        <v>14</v>
      </c>
      <c r="M90">
        <v>8</v>
      </c>
      <c r="N90">
        <v>302</v>
      </c>
      <c r="O90">
        <v>137</v>
      </c>
      <c r="P90">
        <v>4042</v>
      </c>
      <c r="Q90">
        <v>14.5</v>
      </c>
      <c r="R90">
        <v>73</v>
      </c>
      <c r="S90" t="s">
        <v>12</v>
      </c>
      <c r="T90" t="s">
        <v>92</v>
      </c>
    </row>
    <row r="91" spans="2:20" x14ac:dyDescent="0.3">
      <c r="B91" s="5">
        <v>14</v>
      </c>
      <c r="C91" s="5">
        <v>8</v>
      </c>
      <c r="D91" s="5">
        <v>302</v>
      </c>
      <c r="E91" s="5">
        <v>137</v>
      </c>
      <c r="F91" s="5">
        <v>4042</v>
      </c>
      <c r="G91" s="4">
        <v>14.5</v>
      </c>
      <c r="H91" s="5">
        <v>73</v>
      </c>
      <c r="I91" s="6" t="s">
        <v>12</v>
      </c>
      <c r="J91" s="6" t="s">
        <v>92</v>
      </c>
      <c r="L91">
        <v>15</v>
      </c>
      <c r="M91">
        <v>8</v>
      </c>
      <c r="N91">
        <v>318</v>
      </c>
      <c r="O91">
        <v>150</v>
      </c>
      <c r="P91">
        <v>3777</v>
      </c>
      <c r="Q91">
        <v>12.5</v>
      </c>
      <c r="R91">
        <v>73</v>
      </c>
      <c r="S91" t="s">
        <v>12</v>
      </c>
      <c r="T91" t="s">
        <v>93</v>
      </c>
    </row>
    <row r="92" spans="2:20" x14ac:dyDescent="0.3">
      <c r="B92" s="5">
        <v>15</v>
      </c>
      <c r="C92" s="5">
        <v>8</v>
      </c>
      <c r="D92" s="5">
        <v>318</v>
      </c>
      <c r="E92" s="5">
        <v>150</v>
      </c>
      <c r="F92" s="5">
        <v>3777</v>
      </c>
      <c r="G92" s="4">
        <v>12.5</v>
      </c>
      <c r="H92" s="5">
        <v>73</v>
      </c>
      <c r="I92" s="6" t="s">
        <v>12</v>
      </c>
      <c r="J92" s="6" t="s">
        <v>93</v>
      </c>
      <c r="L92">
        <v>12</v>
      </c>
      <c r="M92">
        <v>8</v>
      </c>
      <c r="N92">
        <v>429</v>
      </c>
      <c r="O92">
        <v>198</v>
      </c>
      <c r="P92">
        <v>4952</v>
      </c>
      <c r="Q92">
        <v>11.5</v>
      </c>
      <c r="R92">
        <v>73</v>
      </c>
      <c r="S92" t="s">
        <v>12</v>
      </c>
      <c r="T92" t="s">
        <v>94</v>
      </c>
    </row>
    <row r="93" spans="2:20" x14ac:dyDescent="0.3">
      <c r="B93" s="5">
        <v>12</v>
      </c>
      <c r="C93" s="5">
        <v>8</v>
      </c>
      <c r="D93" s="5">
        <v>429</v>
      </c>
      <c r="E93" s="5">
        <v>198</v>
      </c>
      <c r="F93" s="5">
        <v>4952</v>
      </c>
      <c r="G93" s="4">
        <v>11.5</v>
      </c>
      <c r="H93" s="5">
        <v>73</v>
      </c>
      <c r="I93" s="6" t="s">
        <v>12</v>
      </c>
      <c r="J93" s="6" t="s">
        <v>94</v>
      </c>
      <c r="L93">
        <v>13</v>
      </c>
      <c r="M93">
        <v>8</v>
      </c>
      <c r="N93">
        <v>400</v>
      </c>
      <c r="O93">
        <v>150</v>
      </c>
      <c r="P93">
        <v>4464</v>
      </c>
      <c r="Q93">
        <v>12</v>
      </c>
      <c r="R93">
        <v>73</v>
      </c>
      <c r="S93" t="s">
        <v>12</v>
      </c>
      <c r="T93" t="s">
        <v>95</v>
      </c>
    </row>
    <row r="94" spans="2:20" x14ac:dyDescent="0.3">
      <c r="B94" s="5">
        <v>13</v>
      </c>
      <c r="C94" s="5">
        <v>8</v>
      </c>
      <c r="D94" s="5">
        <v>400</v>
      </c>
      <c r="E94" s="5">
        <v>150</v>
      </c>
      <c r="F94" s="5">
        <v>4464</v>
      </c>
      <c r="G94" s="4">
        <v>12</v>
      </c>
      <c r="H94" s="5">
        <v>73</v>
      </c>
      <c r="I94" s="6" t="s">
        <v>12</v>
      </c>
      <c r="J94" s="6" t="s">
        <v>95</v>
      </c>
      <c r="L94">
        <v>13</v>
      </c>
      <c r="M94">
        <v>8</v>
      </c>
      <c r="N94">
        <v>351</v>
      </c>
      <c r="O94">
        <v>158</v>
      </c>
      <c r="P94">
        <v>4363</v>
      </c>
      <c r="Q94">
        <v>13</v>
      </c>
      <c r="R94">
        <v>73</v>
      </c>
      <c r="S94" t="s">
        <v>12</v>
      </c>
      <c r="T94" t="s">
        <v>96</v>
      </c>
    </row>
    <row r="95" spans="2:20" x14ac:dyDescent="0.3">
      <c r="B95" s="5">
        <v>13</v>
      </c>
      <c r="C95" s="5">
        <v>8</v>
      </c>
      <c r="D95" s="5">
        <v>351</v>
      </c>
      <c r="E95" s="5">
        <v>158</v>
      </c>
      <c r="F95" s="5">
        <v>4363</v>
      </c>
      <c r="G95" s="4">
        <v>13</v>
      </c>
      <c r="H95" s="5">
        <v>73</v>
      </c>
      <c r="I95" s="6" t="s">
        <v>12</v>
      </c>
      <c r="J95" s="6" t="s">
        <v>96</v>
      </c>
      <c r="L95">
        <v>14</v>
      </c>
      <c r="M95">
        <v>8</v>
      </c>
      <c r="N95">
        <v>318</v>
      </c>
      <c r="O95">
        <v>150</v>
      </c>
      <c r="P95">
        <v>4237</v>
      </c>
      <c r="Q95">
        <v>14.5</v>
      </c>
      <c r="R95">
        <v>73</v>
      </c>
      <c r="S95" t="s">
        <v>12</v>
      </c>
      <c r="T95" t="s">
        <v>97</v>
      </c>
    </row>
    <row r="96" spans="2:20" x14ac:dyDescent="0.3">
      <c r="B96" s="5">
        <v>14</v>
      </c>
      <c r="C96" s="5">
        <v>8</v>
      </c>
      <c r="D96" s="5">
        <v>318</v>
      </c>
      <c r="E96" s="5">
        <v>150</v>
      </c>
      <c r="F96" s="5">
        <v>4237</v>
      </c>
      <c r="G96" s="4">
        <v>14.5</v>
      </c>
      <c r="H96" s="5">
        <v>73</v>
      </c>
      <c r="I96" s="6" t="s">
        <v>12</v>
      </c>
      <c r="J96" s="6" t="s">
        <v>97</v>
      </c>
      <c r="L96">
        <v>13</v>
      </c>
      <c r="M96">
        <v>8</v>
      </c>
      <c r="N96">
        <v>440</v>
      </c>
      <c r="O96">
        <v>215</v>
      </c>
      <c r="P96">
        <v>4735</v>
      </c>
      <c r="Q96">
        <v>11</v>
      </c>
      <c r="R96">
        <v>73</v>
      </c>
      <c r="S96" t="s">
        <v>12</v>
      </c>
      <c r="T96" t="s">
        <v>98</v>
      </c>
    </row>
    <row r="97" spans="2:20" x14ac:dyDescent="0.3">
      <c r="B97" s="5">
        <v>13</v>
      </c>
      <c r="C97" s="5">
        <v>8</v>
      </c>
      <c r="D97" s="5">
        <v>440</v>
      </c>
      <c r="E97" s="5">
        <v>215</v>
      </c>
      <c r="F97" s="5">
        <v>4735</v>
      </c>
      <c r="G97" s="4">
        <v>11</v>
      </c>
      <c r="H97" s="5">
        <v>73</v>
      </c>
      <c r="I97" s="6" t="s">
        <v>12</v>
      </c>
      <c r="J97" s="6" t="s">
        <v>98</v>
      </c>
      <c r="L97">
        <v>12</v>
      </c>
      <c r="M97">
        <v>8</v>
      </c>
      <c r="N97">
        <v>455</v>
      </c>
      <c r="O97">
        <v>225</v>
      </c>
      <c r="P97">
        <v>4951</v>
      </c>
      <c r="Q97">
        <v>11</v>
      </c>
      <c r="R97">
        <v>73</v>
      </c>
      <c r="S97" t="s">
        <v>12</v>
      </c>
      <c r="T97" t="s">
        <v>99</v>
      </c>
    </row>
    <row r="98" spans="2:20" x14ac:dyDescent="0.3">
      <c r="B98" s="5">
        <v>12</v>
      </c>
      <c r="C98" s="5">
        <v>8</v>
      </c>
      <c r="D98" s="5">
        <v>455</v>
      </c>
      <c r="E98" s="5">
        <v>225</v>
      </c>
      <c r="F98" s="5">
        <v>4951</v>
      </c>
      <c r="G98" s="4">
        <v>11</v>
      </c>
      <c r="H98" s="5">
        <v>73</v>
      </c>
      <c r="I98" s="6" t="s">
        <v>12</v>
      </c>
      <c r="J98" s="6" t="s">
        <v>99</v>
      </c>
      <c r="L98">
        <v>13</v>
      </c>
      <c r="M98">
        <v>8</v>
      </c>
      <c r="N98">
        <v>360</v>
      </c>
      <c r="O98">
        <v>175</v>
      </c>
      <c r="P98">
        <v>3821</v>
      </c>
      <c r="Q98">
        <v>11</v>
      </c>
      <c r="R98">
        <v>73</v>
      </c>
      <c r="S98" t="s">
        <v>12</v>
      </c>
      <c r="T98" t="s">
        <v>100</v>
      </c>
    </row>
    <row r="99" spans="2:20" x14ac:dyDescent="0.3">
      <c r="B99" s="5">
        <v>13</v>
      </c>
      <c r="C99" s="5">
        <v>8</v>
      </c>
      <c r="D99" s="5">
        <v>360</v>
      </c>
      <c r="E99" s="5">
        <v>175</v>
      </c>
      <c r="F99" s="5">
        <v>3821</v>
      </c>
      <c r="G99" s="4">
        <v>11</v>
      </c>
      <c r="H99" s="5">
        <v>73</v>
      </c>
      <c r="I99" s="6" t="s">
        <v>12</v>
      </c>
      <c r="J99" s="6" t="s">
        <v>100</v>
      </c>
      <c r="L99">
        <v>18</v>
      </c>
      <c r="M99">
        <v>6</v>
      </c>
      <c r="N99">
        <v>225</v>
      </c>
      <c r="O99">
        <v>105</v>
      </c>
      <c r="P99">
        <v>3121</v>
      </c>
      <c r="Q99">
        <v>16.5</v>
      </c>
      <c r="R99">
        <v>73</v>
      </c>
      <c r="S99" t="s">
        <v>12</v>
      </c>
      <c r="T99" t="s">
        <v>101</v>
      </c>
    </row>
    <row r="100" spans="2:20" x14ac:dyDescent="0.3">
      <c r="B100" s="5">
        <v>18</v>
      </c>
      <c r="C100" s="5">
        <v>6</v>
      </c>
      <c r="D100" s="5">
        <v>225</v>
      </c>
      <c r="E100" s="5">
        <v>105</v>
      </c>
      <c r="F100" s="5">
        <v>3121</v>
      </c>
      <c r="G100" s="4">
        <v>16.5</v>
      </c>
      <c r="H100" s="5">
        <v>73</v>
      </c>
      <c r="I100" s="6" t="s">
        <v>12</v>
      </c>
      <c r="J100" s="6" t="s">
        <v>101</v>
      </c>
      <c r="L100">
        <v>16</v>
      </c>
      <c r="M100">
        <v>6</v>
      </c>
      <c r="N100">
        <v>250</v>
      </c>
      <c r="O100">
        <v>100</v>
      </c>
      <c r="P100">
        <v>3278</v>
      </c>
      <c r="Q100">
        <v>18</v>
      </c>
      <c r="R100">
        <v>73</v>
      </c>
      <c r="S100" t="s">
        <v>12</v>
      </c>
      <c r="T100" t="s">
        <v>102</v>
      </c>
    </row>
    <row r="101" spans="2:20" x14ac:dyDescent="0.3">
      <c r="B101" s="5">
        <v>16</v>
      </c>
      <c r="C101" s="5">
        <v>6</v>
      </c>
      <c r="D101" s="5">
        <v>250</v>
      </c>
      <c r="E101" s="5">
        <v>100</v>
      </c>
      <c r="F101" s="5">
        <v>3278</v>
      </c>
      <c r="G101" s="4">
        <v>18</v>
      </c>
      <c r="H101" s="5">
        <v>73</v>
      </c>
      <c r="I101" s="6" t="s">
        <v>12</v>
      </c>
      <c r="J101" s="6" t="s">
        <v>102</v>
      </c>
      <c r="L101">
        <v>18</v>
      </c>
      <c r="M101">
        <v>6</v>
      </c>
      <c r="N101">
        <v>232</v>
      </c>
      <c r="O101">
        <v>100</v>
      </c>
      <c r="P101">
        <v>2945</v>
      </c>
      <c r="Q101">
        <v>16</v>
      </c>
      <c r="R101">
        <v>73</v>
      </c>
      <c r="S101" t="s">
        <v>12</v>
      </c>
      <c r="T101" t="s">
        <v>30</v>
      </c>
    </row>
    <row r="102" spans="2:20" x14ac:dyDescent="0.3">
      <c r="B102" s="5">
        <v>18</v>
      </c>
      <c r="C102" s="5">
        <v>6</v>
      </c>
      <c r="D102" s="5">
        <v>232</v>
      </c>
      <c r="E102" s="5">
        <v>100</v>
      </c>
      <c r="F102" s="5">
        <v>2945</v>
      </c>
      <c r="G102" s="4">
        <v>16</v>
      </c>
      <c r="H102" s="5">
        <v>73</v>
      </c>
      <c r="I102" s="6" t="s">
        <v>12</v>
      </c>
      <c r="J102" s="6" t="s">
        <v>30</v>
      </c>
      <c r="L102">
        <v>18</v>
      </c>
      <c r="M102">
        <v>6</v>
      </c>
      <c r="N102">
        <v>250</v>
      </c>
      <c r="O102">
        <v>88</v>
      </c>
      <c r="P102">
        <v>3021</v>
      </c>
      <c r="Q102">
        <v>16.5</v>
      </c>
      <c r="R102">
        <v>73</v>
      </c>
      <c r="S102" t="s">
        <v>12</v>
      </c>
      <c r="T102" t="s">
        <v>31</v>
      </c>
    </row>
    <row r="103" spans="2:20" x14ac:dyDescent="0.3">
      <c r="B103" s="5">
        <v>18</v>
      </c>
      <c r="C103" s="5">
        <v>6</v>
      </c>
      <c r="D103" s="5">
        <v>250</v>
      </c>
      <c r="E103" s="5">
        <v>88</v>
      </c>
      <c r="F103" s="5">
        <v>3021</v>
      </c>
      <c r="G103" s="4">
        <v>16.5</v>
      </c>
      <c r="H103" s="5">
        <v>73</v>
      </c>
      <c r="I103" s="6" t="s">
        <v>12</v>
      </c>
      <c r="J103" s="6" t="s">
        <v>31</v>
      </c>
      <c r="L103">
        <v>23</v>
      </c>
      <c r="M103">
        <v>6</v>
      </c>
      <c r="N103">
        <v>198</v>
      </c>
      <c r="O103">
        <v>95</v>
      </c>
      <c r="P103">
        <v>2904</v>
      </c>
      <c r="Q103">
        <v>16</v>
      </c>
      <c r="R103">
        <v>73</v>
      </c>
      <c r="S103" t="s">
        <v>12</v>
      </c>
      <c r="T103" t="s">
        <v>29</v>
      </c>
    </row>
    <row r="104" spans="2:20" x14ac:dyDescent="0.3">
      <c r="B104" s="5">
        <v>23</v>
      </c>
      <c r="C104" s="5">
        <v>6</v>
      </c>
      <c r="D104" s="5">
        <v>198</v>
      </c>
      <c r="E104" s="5">
        <v>95</v>
      </c>
      <c r="F104" s="5">
        <v>2904</v>
      </c>
      <c r="G104" s="4">
        <v>16</v>
      </c>
      <c r="H104" s="5">
        <v>73</v>
      </c>
      <c r="I104" s="6" t="s">
        <v>12</v>
      </c>
      <c r="J104" s="6" t="s">
        <v>29</v>
      </c>
      <c r="L104">
        <v>26</v>
      </c>
      <c r="M104">
        <v>4</v>
      </c>
      <c r="N104">
        <v>97</v>
      </c>
      <c r="O104">
        <v>46</v>
      </c>
      <c r="P104">
        <v>1950</v>
      </c>
      <c r="Q104">
        <v>21</v>
      </c>
      <c r="R104">
        <v>73</v>
      </c>
      <c r="S104" t="s">
        <v>33</v>
      </c>
      <c r="T104" t="s">
        <v>103</v>
      </c>
    </row>
    <row r="105" spans="2:20" x14ac:dyDescent="0.3">
      <c r="B105" s="5">
        <v>26</v>
      </c>
      <c r="C105" s="5">
        <v>4</v>
      </c>
      <c r="D105" s="5">
        <v>97</v>
      </c>
      <c r="E105" s="5">
        <v>46</v>
      </c>
      <c r="F105" s="5">
        <v>1950</v>
      </c>
      <c r="G105" s="4">
        <v>21</v>
      </c>
      <c r="H105" s="5">
        <v>73</v>
      </c>
      <c r="I105" s="6" t="s">
        <v>33</v>
      </c>
      <c r="J105" s="6" t="s">
        <v>103</v>
      </c>
      <c r="L105">
        <v>11</v>
      </c>
      <c r="M105">
        <v>8</v>
      </c>
      <c r="N105">
        <v>400</v>
      </c>
      <c r="O105">
        <v>150</v>
      </c>
      <c r="P105">
        <v>4997</v>
      </c>
      <c r="Q105">
        <v>14</v>
      </c>
      <c r="R105">
        <v>73</v>
      </c>
      <c r="S105" t="s">
        <v>12</v>
      </c>
      <c r="T105" t="s">
        <v>19</v>
      </c>
    </row>
    <row r="106" spans="2:20" x14ac:dyDescent="0.3">
      <c r="B106" s="5">
        <v>11</v>
      </c>
      <c r="C106" s="5">
        <v>8</v>
      </c>
      <c r="D106" s="5">
        <v>400</v>
      </c>
      <c r="E106" s="5">
        <v>150</v>
      </c>
      <c r="F106" s="5">
        <v>4997</v>
      </c>
      <c r="G106" s="4">
        <v>14</v>
      </c>
      <c r="H106" s="5">
        <v>73</v>
      </c>
      <c r="I106" s="6" t="s">
        <v>12</v>
      </c>
      <c r="J106" s="6" t="s">
        <v>19</v>
      </c>
      <c r="L106">
        <v>12</v>
      </c>
      <c r="M106">
        <v>8</v>
      </c>
      <c r="N106">
        <v>400</v>
      </c>
      <c r="O106">
        <v>167</v>
      </c>
      <c r="P106">
        <v>4906</v>
      </c>
      <c r="Q106">
        <v>12.5</v>
      </c>
      <c r="R106">
        <v>73</v>
      </c>
      <c r="S106" t="s">
        <v>12</v>
      </c>
      <c r="T106" t="s">
        <v>104</v>
      </c>
    </row>
    <row r="107" spans="2:20" x14ac:dyDescent="0.3">
      <c r="B107" s="5">
        <v>12</v>
      </c>
      <c r="C107" s="5">
        <v>8</v>
      </c>
      <c r="D107" s="5">
        <v>400</v>
      </c>
      <c r="E107" s="5">
        <v>167</v>
      </c>
      <c r="F107" s="5">
        <v>4906</v>
      </c>
      <c r="G107" s="4">
        <v>12.5</v>
      </c>
      <c r="H107" s="5">
        <v>73</v>
      </c>
      <c r="I107" s="6" t="s">
        <v>12</v>
      </c>
      <c r="J107" s="6" t="s">
        <v>104</v>
      </c>
      <c r="L107">
        <v>13</v>
      </c>
      <c r="M107">
        <v>8</v>
      </c>
      <c r="N107">
        <v>360</v>
      </c>
      <c r="O107">
        <v>170</v>
      </c>
      <c r="P107">
        <v>4654</v>
      </c>
      <c r="Q107">
        <v>13</v>
      </c>
      <c r="R107">
        <v>73</v>
      </c>
      <c r="S107" t="s">
        <v>12</v>
      </c>
      <c r="T107" t="s">
        <v>105</v>
      </c>
    </row>
    <row r="108" spans="2:20" x14ac:dyDescent="0.3">
      <c r="B108" s="5">
        <v>13</v>
      </c>
      <c r="C108" s="5">
        <v>8</v>
      </c>
      <c r="D108" s="5">
        <v>360</v>
      </c>
      <c r="E108" s="5">
        <v>170</v>
      </c>
      <c r="F108" s="5">
        <v>4654</v>
      </c>
      <c r="G108" s="4">
        <v>13</v>
      </c>
      <c r="H108" s="5">
        <v>73</v>
      </c>
      <c r="I108" s="6" t="s">
        <v>12</v>
      </c>
      <c r="J108" s="6" t="s">
        <v>105</v>
      </c>
      <c r="L108">
        <v>12</v>
      </c>
      <c r="M108">
        <v>8</v>
      </c>
      <c r="N108">
        <v>350</v>
      </c>
      <c r="O108">
        <v>180</v>
      </c>
      <c r="P108">
        <v>4499</v>
      </c>
      <c r="Q108">
        <v>12.5</v>
      </c>
      <c r="R108">
        <v>73</v>
      </c>
      <c r="S108" t="s">
        <v>12</v>
      </c>
      <c r="T108" t="s">
        <v>106</v>
      </c>
    </row>
    <row r="109" spans="2:20" x14ac:dyDescent="0.3">
      <c r="B109" s="5">
        <v>12</v>
      </c>
      <c r="C109" s="5">
        <v>8</v>
      </c>
      <c r="D109" s="5">
        <v>350</v>
      </c>
      <c r="E109" s="5">
        <v>180</v>
      </c>
      <c r="F109" s="5">
        <v>4499</v>
      </c>
      <c r="G109" s="4">
        <v>12.5</v>
      </c>
      <c r="H109" s="5">
        <v>73</v>
      </c>
      <c r="I109" s="6" t="s">
        <v>12</v>
      </c>
      <c r="J109" s="6" t="s">
        <v>106</v>
      </c>
      <c r="L109">
        <v>18</v>
      </c>
      <c r="M109">
        <v>6</v>
      </c>
      <c r="N109">
        <v>232</v>
      </c>
      <c r="O109">
        <v>100</v>
      </c>
      <c r="P109">
        <v>2789</v>
      </c>
      <c r="Q109">
        <v>15</v>
      </c>
      <c r="R109">
        <v>73</v>
      </c>
      <c r="S109" t="s">
        <v>12</v>
      </c>
      <c r="T109" t="s">
        <v>39</v>
      </c>
    </row>
    <row r="110" spans="2:20" x14ac:dyDescent="0.3">
      <c r="B110" s="5">
        <v>18</v>
      </c>
      <c r="C110" s="5">
        <v>6</v>
      </c>
      <c r="D110" s="5">
        <v>232</v>
      </c>
      <c r="E110" s="5">
        <v>100</v>
      </c>
      <c r="F110" s="5">
        <v>2789</v>
      </c>
      <c r="G110" s="4">
        <v>15</v>
      </c>
      <c r="H110" s="5">
        <v>73</v>
      </c>
      <c r="I110" s="6" t="s">
        <v>12</v>
      </c>
      <c r="J110" s="6" t="s">
        <v>39</v>
      </c>
      <c r="L110">
        <v>20</v>
      </c>
      <c r="M110">
        <v>4</v>
      </c>
      <c r="N110">
        <v>97</v>
      </c>
      <c r="O110">
        <v>88</v>
      </c>
      <c r="P110">
        <v>2279</v>
      </c>
      <c r="Q110">
        <v>19</v>
      </c>
      <c r="R110">
        <v>73</v>
      </c>
      <c r="S110" t="s">
        <v>27</v>
      </c>
      <c r="T110" t="s">
        <v>107</v>
      </c>
    </row>
    <row r="111" spans="2:20" x14ac:dyDescent="0.3">
      <c r="B111" s="5">
        <v>20</v>
      </c>
      <c r="C111" s="5">
        <v>4</v>
      </c>
      <c r="D111" s="5">
        <v>97</v>
      </c>
      <c r="E111" s="5">
        <v>88</v>
      </c>
      <c r="F111" s="5">
        <v>2279</v>
      </c>
      <c r="G111" s="4">
        <v>19</v>
      </c>
      <c r="H111" s="5">
        <v>73</v>
      </c>
      <c r="I111" s="6" t="s">
        <v>27</v>
      </c>
      <c r="J111" s="6" t="s">
        <v>107</v>
      </c>
      <c r="L111">
        <v>21</v>
      </c>
      <c r="M111">
        <v>4</v>
      </c>
      <c r="N111">
        <v>140</v>
      </c>
      <c r="O111">
        <v>72</v>
      </c>
      <c r="P111">
        <v>2401</v>
      </c>
      <c r="Q111">
        <v>19.5</v>
      </c>
      <c r="R111">
        <v>73</v>
      </c>
      <c r="S111" t="s">
        <v>12</v>
      </c>
      <c r="T111" t="s">
        <v>69</v>
      </c>
    </row>
    <row r="112" spans="2:20" x14ac:dyDescent="0.3">
      <c r="B112" s="5">
        <v>21</v>
      </c>
      <c r="C112" s="5">
        <v>4</v>
      </c>
      <c r="D112" s="5">
        <v>140</v>
      </c>
      <c r="E112" s="5">
        <v>72</v>
      </c>
      <c r="F112" s="5">
        <v>2401</v>
      </c>
      <c r="G112" s="4">
        <v>19.5</v>
      </c>
      <c r="H112" s="5">
        <v>73</v>
      </c>
      <c r="I112" s="6" t="s">
        <v>12</v>
      </c>
      <c r="J112" s="6" t="s">
        <v>69</v>
      </c>
      <c r="L112">
        <v>22</v>
      </c>
      <c r="M112">
        <v>4</v>
      </c>
      <c r="N112">
        <v>108</v>
      </c>
      <c r="O112">
        <v>94</v>
      </c>
      <c r="P112">
        <v>2379</v>
      </c>
      <c r="Q112">
        <v>16.5</v>
      </c>
      <c r="R112">
        <v>73</v>
      </c>
      <c r="S112" t="s">
        <v>27</v>
      </c>
      <c r="T112" t="s">
        <v>108</v>
      </c>
    </row>
    <row r="113" spans="2:20" x14ac:dyDescent="0.3">
      <c r="B113" s="5">
        <v>22</v>
      </c>
      <c r="C113" s="5">
        <v>4</v>
      </c>
      <c r="D113" s="5">
        <v>108</v>
      </c>
      <c r="E113" s="5">
        <v>94</v>
      </c>
      <c r="F113" s="5">
        <v>2379</v>
      </c>
      <c r="G113" s="4">
        <v>16.5</v>
      </c>
      <c r="H113" s="5">
        <v>73</v>
      </c>
      <c r="I113" s="6" t="s">
        <v>27</v>
      </c>
      <c r="J113" s="6" t="s">
        <v>108</v>
      </c>
      <c r="L113">
        <v>18</v>
      </c>
      <c r="M113">
        <v>3</v>
      </c>
      <c r="N113">
        <v>70</v>
      </c>
      <c r="O113">
        <v>90</v>
      </c>
      <c r="P113">
        <v>2124</v>
      </c>
      <c r="Q113">
        <v>13.5</v>
      </c>
      <c r="R113">
        <v>73</v>
      </c>
      <c r="S113" t="s">
        <v>27</v>
      </c>
      <c r="T113" t="s">
        <v>109</v>
      </c>
    </row>
    <row r="114" spans="2:20" x14ac:dyDescent="0.3">
      <c r="B114" s="5">
        <v>18</v>
      </c>
      <c r="C114" s="5">
        <v>3</v>
      </c>
      <c r="D114" s="5">
        <v>70</v>
      </c>
      <c r="E114" s="5">
        <v>90</v>
      </c>
      <c r="F114" s="5">
        <v>2124</v>
      </c>
      <c r="G114" s="4">
        <v>13.5</v>
      </c>
      <c r="H114" s="5">
        <v>73</v>
      </c>
      <c r="I114" s="6" t="s">
        <v>27</v>
      </c>
      <c r="J114" s="6" t="s">
        <v>109</v>
      </c>
      <c r="L114">
        <v>19</v>
      </c>
      <c r="M114">
        <v>4</v>
      </c>
      <c r="N114">
        <v>122</v>
      </c>
      <c r="O114">
        <v>85</v>
      </c>
      <c r="P114">
        <v>2310</v>
      </c>
      <c r="Q114">
        <v>18.5</v>
      </c>
      <c r="R114">
        <v>73</v>
      </c>
      <c r="S114" t="s">
        <v>12</v>
      </c>
      <c r="T114" t="s">
        <v>46</v>
      </c>
    </row>
    <row r="115" spans="2:20" x14ac:dyDescent="0.3">
      <c r="B115" s="5">
        <v>19</v>
      </c>
      <c r="C115" s="5">
        <v>4</v>
      </c>
      <c r="D115" s="5">
        <v>122</v>
      </c>
      <c r="E115" s="5">
        <v>85</v>
      </c>
      <c r="F115" s="5">
        <v>2310</v>
      </c>
      <c r="G115" s="4">
        <v>18.5</v>
      </c>
      <c r="H115" s="5">
        <v>73</v>
      </c>
      <c r="I115" s="6" t="s">
        <v>12</v>
      </c>
      <c r="J115" s="6" t="s">
        <v>46</v>
      </c>
      <c r="L115">
        <v>21</v>
      </c>
      <c r="M115">
        <v>6</v>
      </c>
      <c r="N115">
        <v>155</v>
      </c>
      <c r="O115">
        <v>107</v>
      </c>
      <c r="P115">
        <v>2472</v>
      </c>
      <c r="Q115">
        <v>14</v>
      </c>
      <c r="R115">
        <v>73</v>
      </c>
      <c r="S115" t="s">
        <v>12</v>
      </c>
      <c r="T115" t="s">
        <v>110</v>
      </c>
    </row>
    <row r="116" spans="2:20" x14ac:dyDescent="0.3">
      <c r="B116" s="5">
        <v>21</v>
      </c>
      <c r="C116" s="5">
        <v>6</v>
      </c>
      <c r="D116" s="5">
        <v>155</v>
      </c>
      <c r="E116" s="5">
        <v>107</v>
      </c>
      <c r="F116" s="5">
        <v>2472</v>
      </c>
      <c r="G116" s="4">
        <v>14</v>
      </c>
      <c r="H116" s="5">
        <v>73</v>
      </c>
      <c r="I116" s="6" t="s">
        <v>12</v>
      </c>
      <c r="J116" s="6" t="s">
        <v>110</v>
      </c>
      <c r="L116">
        <v>26</v>
      </c>
      <c r="M116">
        <v>4</v>
      </c>
      <c r="N116">
        <v>98</v>
      </c>
      <c r="O116">
        <v>90</v>
      </c>
      <c r="P116">
        <v>2265</v>
      </c>
      <c r="Q116">
        <v>15.5</v>
      </c>
      <c r="R116">
        <v>73</v>
      </c>
      <c r="S116" t="s">
        <v>33</v>
      </c>
      <c r="T116" t="s">
        <v>111</v>
      </c>
    </row>
    <row r="117" spans="2:20" x14ac:dyDescent="0.3">
      <c r="B117" s="5">
        <v>26</v>
      </c>
      <c r="C117" s="5">
        <v>4</v>
      </c>
      <c r="D117" s="5">
        <v>98</v>
      </c>
      <c r="E117" s="5">
        <v>90</v>
      </c>
      <c r="F117" s="5">
        <v>2265</v>
      </c>
      <c r="G117" s="4">
        <v>15.5</v>
      </c>
      <c r="H117" s="5">
        <v>73</v>
      </c>
      <c r="I117" s="6" t="s">
        <v>33</v>
      </c>
      <c r="J117" s="6" t="s">
        <v>111</v>
      </c>
      <c r="L117">
        <v>15</v>
      </c>
      <c r="M117">
        <v>8</v>
      </c>
      <c r="N117">
        <v>350</v>
      </c>
      <c r="O117">
        <v>145</v>
      </c>
      <c r="P117">
        <v>4082</v>
      </c>
      <c r="Q117">
        <v>13</v>
      </c>
      <c r="R117">
        <v>73</v>
      </c>
      <c r="S117" t="s">
        <v>12</v>
      </c>
      <c r="T117" t="s">
        <v>112</v>
      </c>
    </row>
    <row r="118" spans="2:20" x14ac:dyDescent="0.3">
      <c r="B118" s="5">
        <v>15</v>
      </c>
      <c r="C118" s="5">
        <v>8</v>
      </c>
      <c r="D118" s="5">
        <v>350</v>
      </c>
      <c r="E118" s="5">
        <v>145</v>
      </c>
      <c r="F118" s="5">
        <v>4082</v>
      </c>
      <c r="G118" s="4">
        <v>13</v>
      </c>
      <c r="H118" s="5">
        <v>73</v>
      </c>
      <c r="I118" s="6" t="s">
        <v>12</v>
      </c>
      <c r="J118" s="6" t="s">
        <v>112</v>
      </c>
      <c r="L118">
        <v>16</v>
      </c>
      <c r="M118">
        <v>8</v>
      </c>
      <c r="N118">
        <v>400</v>
      </c>
      <c r="O118">
        <v>230</v>
      </c>
      <c r="P118">
        <v>4278</v>
      </c>
      <c r="Q118">
        <v>9.5</v>
      </c>
      <c r="R118">
        <v>73</v>
      </c>
      <c r="S118" t="s">
        <v>12</v>
      </c>
      <c r="T118" t="s">
        <v>113</v>
      </c>
    </row>
    <row r="119" spans="2:20" x14ac:dyDescent="0.3">
      <c r="B119" s="5">
        <v>16</v>
      </c>
      <c r="C119" s="5">
        <v>8</v>
      </c>
      <c r="D119" s="5">
        <v>400</v>
      </c>
      <c r="E119" s="5">
        <v>230</v>
      </c>
      <c r="F119" s="5">
        <v>4278</v>
      </c>
      <c r="G119" s="4">
        <v>9.5</v>
      </c>
      <c r="H119" s="5">
        <v>73</v>
      </c>
      <c r="I119" s="6" t="s">
        <v>12</v>
      </c>
      <c r="J119" s="6" t="s">
        <v>113</v>
      </c>
      <c r="L119">
        <v>29</v>
      </c>
      <c r="M119">
        <v>4</v>
      </c>
      <c r="N119">
        <v>68</v>
      </c>
      <c r="O119">
        <v>49</v>
      </c>
      <c r="P119">
        <v>1867</v>
      </c>
      <c r="Q119">
        <v>19.5</v>
      </c>
      <c r="R119">
        <v>73</v>
      </c>
      <c r="S119" t="s">
        <v>33</v>
      </c>
      <c r="T119" t="s">
        <v>114</v>
      </c>
    </row>
    <row r="120" spans="2:20" x14ac:dyDescent="0.3">
      <c r="B120" s="5">
        <v>29</v>
      </c>
      <c r="C120" s="5">
        <v>4</v>
      </c>
      <c r="D120" s="5">
        <v>68</v>
      </c>
      <c r="E120" s="5">
        <v>49</v>
      </c>
      <c r="F120" s="5">
        <v>1867</v>
      </c>
      <c r="G120" s="4">
        <v>19.5</v>
      </c>
      <c r="H120" s="5">
        <v>73</v>
      </c>
      <c r="I120" s="6" t="s">
        <v>33</v>
      </c>
      <c r="J120" s="6" t="s">
        <v>114</v>
      </c>
      <c r="L120">
        <v>24</v>
      </c>
      <c r="M120">
        <v>4</v>
      </c>
      <c r="N120">
        <v>116</v>
      </c>
      <c r="O120">
        <v>75</v>
      </c>
      <c r="P120">
        <v>2158</v>
      </c>
      <c r="Q120">
        <v>15.5</v>
      </c>
      <c r="R120">
        <v>73</v>
      </c>
      <c r="S120" t="s">
        <v>33</v>
      </c>
      <c r="T120" t="s">
        <v>115</v>
      </c>
    </row>
    <row r="121" spans="2:20" x14ac:dyDescent="0.3">
      <c r="B121" s="5">
        <v>24</v>
      </c>
      <c r="C121" s="5">
        <v>4</v>
      </c>
      <c r="D121" s="5">
        <v>116</v>
      </c>
      <c r="E121" s="5">
        <v>75</v>
      </c>
      <c r="F121" s="5">
        <v>2158</v>
      </c>
      <c r="G121" s="4">
        <v>15.5</v>
      </c>
      <c r="H121" s="5">
        <v>73</v>
      </c>
      <c r="I121" s="6" t="s">
        <v>33</v>
      </c>
      <c r="J121" s="6" t="s">
        <v>115</v>
      </c>
      <c r="L121">
        <v>20</v>
      </c>
      <c r="M121">
        <v>4</v>
      </c>
      <c r="N121">
        <v>114</v>
      </c>
      <c r="O121">
        <v>91</v>
      </c>
      <c r="P121">
        <v>2582</v>
      </c>
      <c r="Q121">
        <v>14</v>
      </c>
      <c r="R121">
        <v>73</v>
      </c>
      <c r="S121" t="s">
        <v>33</v>
      </c>
      <c r="T121" t="s">
        <v>116</v>
      </c>
    </row>
    <row r="122" spans="2:20" x14ac:dyDescent="0.3">
      <c r="B122" s="5">
        <v>20</v>
      </c>
      <c r="C122" s="5">
        <v>4</v>
      </c>
      <c r="D122" s="5">
        <v>114</v>
      </c>
      <c r="E122" s="5">
        <v>91</v>
      </c>
      <c r="F122" s="5">
        <v>2582</v>
      </c>
      <c r="G122" s="4">
        <v>14</v>
      </c>
      <c r="H122" s="5">
        <v>73</v>
      </c>
      <c r="I122" s="6" t="s">
        <v>33</v>
      </c>
      <c r="J122" s="6" t="s">
        <v>116</v>
      </c>
      <c r="L122">
        <v>19</v>
      </c>
      <c r="M122">
        <v>4</v>
      </c>
      <c r="N122">
        <v>121</v>
      </c>
      <c r="O122">
        <v>112</v>
      </c>
      <c r="P122">
        <v>2868</v>
      </c>
      <c r="Q122">
        <v>15.5</v>
      </c>
      <c r="R122">
        <v>73</v>
      </c>
      <c r="S122" t="s">
        <v>33</v>
      </c>
      <c r="T122" t="s">
        <v>117</v>
      </c>
    </row>
    <row r="123" spans="2:20" x14ac:dyDescent="0.3">
      <c r="B123" s="5">
        <v>19</v>
      </c>
      <c r="C123" s="5">
        <v>4</v>
      </c>
      <c r="D123" s="5">
        <v>121</v>
      </c>
      <c r="E123" s="5">
        <v>112</v>
      </c>
      <c r="F123" s="5">
        <v>2868</v>
      </c>
      <c r="G123" s="4">
        <v>15.5</v>
      </c>
      <c r="H123" s="5">
        <v>73</v>
      </c>
      <c r="I123" s="6" t="s">
        <v>33</v>
      </c>
      <c r="J123" s="6" t="s">
        <v>117</v>
      </c>
      <c r="L123">
        <v>15</v>
      </c>
      <c r="M123">
        <v>8</v>
      </c>
      <c r="N123">
        <v>318</v>
      </c>
      <c r="O123">
        <v>150</v>
      </c>
      <c r="P123">
        <v>3399</v>
      </c>
      <c r="Q123">
        <v>11</v>
      </c>
      <c r="R123">
        <v>73</v>
      </c>
      <c r="S123" t="s">
        <v>12</v>
      </c>
      <c r="T123" t="s">
        <v>118</v>
      </c>
    </row>
    <row r="124" spans="2:20" x14ac:dyDescent="0.3">
      <c r="B124" s="5">
        <v>15</v>
      </c>
      <c r="C124" s="5">
        <v>8</v>
      </c>
      <c r="D124" s="5">
        <v>318</v>
      </c>
      <c r="E124" s="5">
        <v>150</v>
      </c>
      <c r="F124" s="5">
        <v>3399</v>
      </c>
      <c r="G124" s="4">
        <v>11</v>
      </c>
      <c r="H124" s="5">
        <v>73</v>
      </c>
      <c r="I124" s="6" t="s">
        <v>12</v>
      </c>
      <c r="J124" s="6" t="s">
        <v>118</v>
      </c>
      <c r="L124">
        <v>24</v>
      </c>
      <c r="M124">
        <v>4</v>
      </c>
      <c r="N124">
        <v>121</v>
      </c>
      <c r="O124">
        <v>110</v>
      </c>
      <c r="P124">
        <v>2660</v>
      </c>
      <c r="Q124">
        <v>14</v>
      </c>
      <c r="R124">
        <v>73</v>
      </c>
      <c r="S124" t="s">
        <v>33</v>
      </c>
      <c r="T124" t="s">
        <v>119</v>
      </c>
    </row>
    <row r="125" spans="2:20" x14ac:dyDescent="0.3">
      <c r="B125" s="5">
        <v>24</v>
      </c>
      <c r="C125" s="5">
        <v>4</v>
      </c>
      <c r="D125" s="5">
        <v>121</v>
      </c>
      <c r="E125" s="5">
        <v>110</v>
      </c>
      <c r="F125" s="5">
        <v>2660</v>
      </c>
      <c r="G125" s="4">
        <v>14</v>
      </c>
      <c r="H125" s="5">
        <v>73</v>
      </c>
      <c r="I125" s="6" t="s">
        <v>33</v>
      </c>
      <c r="J125" s="6" t="s">
        <v>119</v>
      </c>
      <c r="L125">
        <v>20</v>
      </c>
      <c r="M125">
        <v>6</v>
      </c>
      <c r="N125">
        <v>156</v>
      </c>
      <c r="O125">
        <v>122</v>
      </c>
      <c r="P125">
        <v>2807</v>
      </c>
      <c r="Q125">
        <v>13.5</v>
      </c>
      <c r="R125">
        <v>73</v>
      </c>
      <c r="S125" t="s">
        <v>27</v>
      </c>
      <c r="T125" t="s">
        <v>120</v>
      </c>
    </row>
    <row r="126" spans="2:20" x14ac:dyDescent="0.3">
      <c r="B126" s="5">
        <v>20</v>
      </c>
      <c r="C126" s="5">
        <v>6</v>
      </c>
      <c r="D126" s="5">
        <v>156</v>
      </c>
      <c r="E126" s="5">
        <v>122</v>
      </c>
      <c r="F126" s="5">
        <v>2807</v>
      </c>
      <c r="G126" s="4">
        <v>13.5</v>
      </c>
      <c r="H126" s="5">
        <v>73</v>
      </c>
      <c r="I126" s="6" t="s">
        <v>27</v>
      </c>
      <c r="J126" s="6" t="s">
        <v>120</v>
      </c>
      <c r="L126">
        <v>11</v>
      </c>
      <c r="M126">
        <v>8</v>
      </c>
      <c r="N126">
        <v>350</v>
      </c>
      <c r="O126">
        <v>180</v>
      </c>
      <c r="P126">
        <v>3664</v>
      </c>
      <c r="Q126">
        <v>11</v>
      </c>
      <c r="R126">
        <v>73</v>
      </c>
      <c r="S126" t="s">
        <v>12</v>
      </c>
      <c r="T126" t="s">
        <v>121</v>
      </c>
    </row>
    <row r="127" spans="2:20" x14ac:dyDescent="0.3">
      <c r="B127" s="5">
        <v>11</v>
      </c>
      <c r="C127" s="5">
        <v>8</v>
      </c>
      <c r="D127" s="5">
        <v>350</v>
      </c>
      <c r="E127" s="5">
        <v>180</v>
      </c>
      <c r="F127" s="5">
        <v>3664</v>
      </c>
      <c r="G127" s="4">
        <v>11</v>
      </c>
      <c r="H127" s="5">
        <v>73</v>
      </c>
      <c r="I127" s="6" t="s">
        <v>12</v>
      </c>
      <c r="J127" s="6" t="s">
        <v>121</v>
      </c>
      <c r="L127">
        <v>20</v>
      </c>
      <c r="M127">
        <v>6</v>
      </c>
      <c r="N127">
        <v>198</v>
      </c>
      <c r="O127">
        <v>95</v>
      </c>
      <c r="P127">
        <v>3102</v>
      </c>
      <c r="Q127">
        <v>16.5</v>
      </c>
      <c r="R127">
        <v>74</v>
      </c>
      <c r="S127" t="s">
        <v>12</v>
      </c>
      <c r="T127" t="s">
        <v>29</v>
      </c>
    </row>
    <row r="128" spans="2:20" x14ac:dyDescent="0.3">
      <c r="B128" s="5">
        <v>20</v>
      </c>
      <c r="C128" s="5">
        <v>6</v>
      </c>
      <c r="D128" s="5">
        <v>198</v>
      </c>
      <c r="E128" s="5">
        <v>95</v>
      </c>
      <c r="F128" s="5">
        <v>3102</v>
      </c>
      <c r="G128" s="4">
        <v>16.5</v>
      </c>
      <c r="H128" s="5">
        <v>74</v>
      </c>
      <c r="I128" s="6" t="s">
        <v>12</v>
      </c>
      <c r="J128" s="6" t="s">
        <v>29</v>
      </c>
      <c r="L128">
        <v>19</v>
      </c>
      <c r="M128">
        <v>6</v>
      </c>
      <c r="N128">
        <v>232</v>
      </c>
      <c r="O128">
        <v>100</v>
      </c>
      <c r="P128">
        <v>2901</v>
      </c>
      <c r="Q128">
        <v>16</v>
      </c>
      <c r="R128">
        <v>74</v>
      </c>
      <c r="S128" t="s">
        <v>12</v>
      </c>
      <c r="T128" t="s">
        <v>30</v>
      </c>
    </row>
    <row r="129" spans="2:20" x14ac:dyDescent="0.3">
      <c r="B129" s="5">
        <v>21</v>
      </c>
      <c r="C129" s="5">
        <v>6</v>
      </c>
      <c r="D129" s="5">
        <v>200</v>
      </c>
      <c r="E129" s="5"/>
      <c r="F129" s="5">
        <v>2875</v>
      </c>
      <c r="G129" s="4">
        <v>17</v>
      </c>
      <c r="H129" s="5">
        <v>74</v>
      </c>
      <c r="I129" s="6" t="s">
        <v>12</v>
      </c>
      <c r="J129" s="6" t="s">
        <v>31</v>
      </c>
      <c r="L129">
        <v>15</v>
      </c>
      <c r="M129">
        <v>6</v>
      </c>
      <c r="N129">
        <v>250</v>
      </c>
      <c r="O129">
        <v>100</v>
      </c>
      <c r="P129">
        <v>3336</v>
      </c>
      <c r="Q129">
        <v>17</v>
      </c>
      <c r="R129">
        <v>74</v>
      </c>
      <c r="S129" t="s">
        <v>12</v>
      </c>
      <c r="T129" t="s">
        <v>122</v>
      </c>
    </row>
    <row r="130" spans="2:20" x14ac:dyDescent="0.3">
      <c r="B130" s="5">
        <v>19</v>
      </c>
      <c r="C130" s="5">
        <v>6</v>
      </c>
      <c r="D130" s="5">
        <v>232</v>
      </c>
      <c r="E130" s="5">
        <v>100</v>
      </c>
      <c r="F130" s="5">
        <v>2901</v>
      </c>
      <c r="G130" s="4">
        <v>16</v>
      </c>
      <c r="H130" s="5">
        <v>74</v>
      </c>
      <c r="I130" s="6" t="s">
        <v>12</v>
      </c>
      <c r="J130" s="6" t="s">
        <v>30</v>
      </c>
      <c r="L130">
        <v>31</v>
      </c>
      <c r="M130">
        <v>4</v>
      </c>
      <c r="N130">
        <v>79</v>
      </c>
      <c r="O130">
        <v>67</v>
      </c>
      <c r="P130">
        <v>1950</v>
      </c>
      <c r="Q130">
        <v>19</v>
      </c>
      <c r="R130">
        <v>74</v>
      </c>
      <c r="S130" t="s">
        <v>27</v>
      </c>
      <c r="T130" t="s">
        <v>123</v>
      </c>
    </row>
    <row r="131" spans="2:20" x14ac:dyDescent="0.3">
      <c r="B131" s="5">
        <v>15</v>
      </c>
      <c r="C131" s="5">
        <v>6</v>
      </c>
      <c r="D131" s="5">
        <v>250</v>
      </c>
      <c r="E131" s="5">
        <v>100</v>
      </c>
      <c r="F131" s="5">
        <v>3336</v>
      </c>
      <c r="G131" s="4">
        <v>17</v>
      </c>
      <c r="H131" s="5">
        <v>74</v>
      </c>
      <c r="I131" s="6" t="s">
        <v>12</v>
      </c>
      <c r="J131" s="6" t="s">
        <v>122</v>
      </c>
      <c r="L131">
        <v>26</v>
      </c>
      <c r="M131">
        <v>4</v>
      </c>
      <c r="N131">
        <v>122</v>
      </c>
      <c r="O131">
        <v>80</v>
      </c>
      <c r="P131">
        <v>2451</v>
      </c>
      <c r="Q131">
        <v>16.5</v>
      </c>
      <c r="R131">
        <v>74</v>
      </c>
      <c r="S131" t="s">
        <v>12</v>
      </c>
      <c r="T131" t="s">
        <v>46</v>
      </c>
    </row>
    <row r="132" spans="2:20" x14ac:dyDescent="0.3">
      <c r="B132" s="5">
        <v>31</v>
      </c>
      <c r="C132" s="5">
        <v>4</v>
      </c>
      <c r="D132" s="5">
        <v>79</v>
      </c>
      <c r="E132" s="5">
        <v>67</v>
      </c>
      <c r="F132" s="5">
        <v>1950</v>
      </c>
      <c r="G132" s="4">
        <v>19</v>
      </c>
      <c r="H132" s="5">
        <v>74</v>
      </c>
      <c r="I132" s="6" t="s">
        <v>27</v>
      </c>
      <c r="J132" s="6" t="s">
        <v>123</v>
      </c>
      <c r="L132">
        <v>32</v>
      </c>
      <c r="M132">
        <v>4</v>
      </c>
      <c r="N132">
        <v>71</v>
      </c>
      <c r="O132">
        <v>65</v>
      </c>
      <c r="P132">
        <v>1836</v>
      </c>
      <c r="Q132">
        <v>21</v>
      </c>
      <c r="R132">
        <v>74</v>
      </c>
      <c r="S132" t="s">
        <v>27</v>
      </c>
      <c r="T132" t="s">
        <v>62</v>
      </c>
    </row>
    <row r="133" spans="2:20" x14ac:dyDescent="0.3">
      <c r="B133" s="5">
        <v>26</v>
      </c>
      <c r="C133" s="5">
        <v>4</v>
      </c>
      <c r="D133" s="5">
        <v>122</v>
      </c>
      <c r="E133" s="5">
        <v>80</v>
      </c>
      <c r="F133" s="5">
        <v>2451</v>
      </c>
      <c r="G133" s="4">
        <v>16.5</v>
      </c>
      <c r="H133" s="5">
        <v>74</v>
      </c>
      <c r="I133" s="6" t="s">
        <v>12</v>
      </c>
      <c r="J133" s="6" t="s">
        <v>46</v>
      </c>
      <c r="L133">
        <v>25</v>
      </c>
      <c r="M133">
        <v>4</v>
      </c>
      <c r="N133">
        <v>140</v>
      </c>
      <c r="O133">
        <v>75</v>
      </c>
      <c r="P133">
        <v>2542</v>
      </c>
      <c r="Q133">
        <v>17</v>
      </c>
      <c r="R133">
        <v>74</v>
      </c>
      <c r="S133" t="s">
        <v>12</v>
      </c>
      <c r="T133" t="s">
        <v>69</v>
      </c>
    </row>
    <row r="134" spans="2:20" x14ac:dyDescent="0.3">
      <c r="B134" s="5">
        <v>32</v>
      </c>
      <c r="C134" s="5">
        <v>4</v>
      </c>
      <c r="D134" s="5">
        <v>71</v>
      </c>
      <c r="E134" s="5">
        <v>65</v>
      </c>
      <c r="F134" s="5">
        <v>1836</v>
      </c>
      <c r="G134" s="4">
        <v>21</v>
      </c>
      <c r="H134" s="5">
        <v>74</v>
      </c>
      <c r="I134" s="6" t="s">
        <v>27</v>
      </c>
      <c r="J134" s="6" t="s">
        <v>62</v>
      </c>
      <c r="L134">
        <v>16</v>
      </c>
      <c r="M134">
        <v>6</v>
      </c>
      <c r="N134">
        <v>250</v>
      </c>
      <c r="O134">
        <v>100</v>
      </c>
      <c r="P134">
        <v>3781</v>
      </c>
      <c r="Q134">
        <v>17</v>
      </c>
      <c r="R134">
        <v>74</v>
      </c>
      <c r="S134" t="s">
        <v>12</v>
      </c>
      <c r="T134" t="s">
        <v>124</v>
      </c>
    </row>
    <row r="135" spans="2:20" x14ac:dyDescent="0.3">
      <c r="B135" s="5">
        <v>25</v>
      </c>
      <c r="C135" s="5">
        <v>4</v>
      </c>
      <c r="D135" s="5">
        <v>140</v>
      </c>
      <c r="E135" s="5">
        <v>75</v>
      </c>
      <c r="F135" s="5">
        <v>2542</v>
      </c>
      <c r="G135" s="4">
        <v>17</v>
      </c>
      <c r="H135" s="5">
        <v>74</v>
      </c>
      <c r="I135" s="6" t="s">
        <v>12</v>
      </c>
      <c r="J135" s="6" t="s">
        <v>69</v>
      </c>
      <c r="L135">
        <v>16</v>
      </c>
      <c r="M135">
        <v>6</v>
      </c>
      <c r="N135">
        <v>258</v>
      </c>
      <c r="O135">
        <v>110</v>
      </c>
      <c r="P135">
        <v>3632</v>
      </c>
      <c r="Q135">
        <v>18</v>
      </c>
      <c r="R135">
        <v>74</v>
      </c>
      <c r="S135" t="s">
        <v>12</v>
      </c>
      <c r="T135" t="s">
        <v>49</v>
      </c>
    </row>
    <row r="136" spans="2:20" x14ac:dyDescent="0.3">
      <c r="B136" s="5">
        <v>16</v>
      </c>
      <c r="C136" s="5">
        <v>6</v>
      </c>
      <c r="D136" s="5">
        <v>250</v>
      </c>
      <c r="E136" s="5">
        <v>100</v>
      </c>
      <c r="F136" s="5">
        <v>3781</v>
      </c>
      <c r="G136" s="4">
        <v>17</v>
      </c>
      <c r="H136" s="5">
        <v>74</v>
      </c>
      <c r="I136" s="6" t="s">
        <v>12</v>
      </c>
      <c r="J136" s="6" t="s">
        <v>124</v>
      </c>
      <c r="L136">
        <v>18</v>
      </c>
      <c r="M136">
        <v>6</v>
      </c>
      <c r="N136">
        <v>225</v>
      </c>
      <c r="O136">
        <v>105</v>
      </c>
      <c r="P136">
        <v>3613</v>
      </c>
      <c r="Q136">
        <v>16.5</v>
      </c>
      <c r="R136">
        <v>74</v>
      </c>
      <c r="S136" t="s">
        <v>12</v>
      </c>
      <c r="T136" t="s">
        <v>125</v>
      </c>
    </row>
    <row r="137" spans="2:20" x14ac:dyDescent="0.3">
      <c r="B137" s="5">
        <v>16</v>
      </c>
      <c r="C137" s="5">
        <v>6</v>
      </c>
      <c r="D137" s="5">
        <v>258</v>
      </c>
      <c r="E137" s="5">
        <v>110</v>
      </c>
      <c r="F137" s="5">
        <v>3632</v>
      </c>
      <c r="G137" s="4">
        <v>18</v>
      </c>
      <c r="H137" s="5">
        <v>74</v>
      </c>
      <c r="I137" s="6" t="s">
        <v>12</v>
      </c>
      <c r="J137" s="6" t="s">
        <v>49</v>
      </c>
      <c r="L137">
        <v>16</v>
      </c>
      <c r="M137">
        <v>8</v>
      </c>
      <c r="N137">
        <v>302</v>
      </c>
      <c r="O137">
        <v>140</v>
      </c>
      <c r="P137">
        <v>4141</v>
      </c>
      <c r="Q137">
        <v>14</v>
      </c>
      <c r="R137">
        <v>74</v>
      </c>
      <c r="S137" t="s">
        <v>12</v>
      </c>
      <c r="T137" t="s">
        <v>92</v>
      </c>
    </row>
    <row r="138" spans="2:20" x14ac:dyDescent="0.3">
      <c r="B138" s="5">
        <v>18</v>
      </c>
      <c r="C138" s="5">
        <v>6</v>
      </c>
      <c r="D138" s="5">
        <v>225</v>
      </c>
      <c r="E138" s="5">
        <v>105</v>
      </c>
      <c r="F138" s="5">
        <v>3613</v>
      </c>
      <c r="G138" s="4">
        <v>16.5</v>
      </c>
      <c r="H138" s="5">
        <v>74</v>
      </c>
      <c r="I138" s="6" t="s">
        <v>12</v>
      </c>
      <c r="J138" s="6" t="s">
        <v>125</v>
      </c>
      <c r="L138">
        <v>13</v>
      </c>
      <c r="M138">
        <v>8</v>
      </c>
      <c r="N138">
        <v>350</v>
      </c>
      <c r="O138">
        <v>150</v>
      </c>
      <c r="P138">
        <v>4699</v>
      </c>
      <c r="Q138">
        <v>14.5</v>
      </c>
      <c r="R138">
        <v>74</v>
      </c>
      <c r="S138" t="s">
        <v>12</v>
      </c>
      <c r="T138" t="s">
        <v>126</v>
      </c>
    </row>
    <row r="139" spans="2:20" x14ac:dyDescent="0.3">
      <c r="B139" s="5">
        <v>16</v>
      </c>
      <c r="C139" s="5">
        <v>8</v>
      </c>
      <c r="D139" s="5">
        <v>302</v>
      </c>
      <c r="E139" s="5">
        <v>140</v>
      </c>
      <c r="F139" s="5">
        <v>4141</v>
      </c>
      <c r="G139" s="4">
        <v>14</v>
      </c>
      <c r="H139" s="5">
        <v>74</v>
      </c>
      <c r="I139" s="6" t="s">
        <v>12</v>
      </c>
      <c r="J139" s="6" t="s">
        <v>92</v>
      </c>
      <c r="L139">
        <v>14</v>
      </c>
      <c r="M139">
        <v>8</v>
      </c>
      <c r="N139">
        <v>318</v>
      </c>
      <c r="O139">
        <v>150</v>
      </c>
      <c r="P139">
        <v>4457</v>
      </c>
      <c r="Q139">
        <v>13.5</v>
      </c>
      <c r="R139">
        <v>74</v>
      </c>
      <c r="S139" t="s">
        <v>12</v>
      </c>
      <c r="T139" t="s">
        <v>127</v>
      </c>
    </row>
    <row r="140" spans="2:20" x14ac:dyDescent="0.3">
      <c r="B140" s="5">
        <v>13</v>
      </c>
      <c r="C140" s="5">
        <v>8</v>
      </c>
      <c r="D140" s="5">
        <v>350</v>
      </c>
      <c r="E140" s="5">
        <v>150</v>
      </c>
      <c r="F140" s="5">
        <v>4699</v>
      </c>
      <c r="G140" s="4">
        <v>14.5</v>
      </c>
      <c r="H140" s="5">
        <v>74</v>
      </c>
      <c r="I140" s="6" t="s">
        <v>12</v>
      </c>
      <c r="J140" s="6" t="s">
        <v>126</v>
      </c>
      <c r="L140">
        <v>14</v>
      </c>
      <c r="M140">
        <v>8</v>
      </c>
      <c r="N140">
        <v>302</v>
      </c>
      <c r="O140">
        <v>140</v>
      </c>
      <c r="P140">
        <v>4638</v>
      </c>
      <c r="Q140">
        <v>16</v>
      </c>
      <c r="R140">
        <v>74</v>
      </c>
      <c r="S140" t="s">
        <v>12</v>
      </c>
      <c r="T140" t="s">
        <v>79</v>
      </c>
    </row>
    <row r="141" spans="2:20" x14ac:dyDescent="0.3">
      <c r="B141" s="5">
        <v>14</v>
      </c>
      <c r="C141" s="5">
        <v>8</v>
      </c>
      <c r="D141" s="5">
        <v>318</v>
      </c>
      <c r="E141" s="5">
        <v>150</v>
      </c>
      <c r="F141" s="5">
        <v>4457</v>
      </c>
      <c r="G141" s="4">
        <v>13.5</v>
      </c>
      <c r="H141" s="5">
        <v>74</v>
      </c>
      <c r="I141" s="6" t="s">
        <v>12</v>
      </c>
      <c r="J141" s="6" t="s">
        <v>127</v>
      </c>
      <c r="L141">
        <v>14</v>
      </c>
      <c r="M141">
        <v>8</v>
      </c>
      <c r="N141">
        <v>304</v>
      </c>
      <c r="O141">
        <v>150</v>
      </c>
      <c r="P141">
        <v>4257</v>
      </c>
      <c r="Q141">
        <v>15.5</v>
      </c>
      <c r="R141">
        <v>74</v>
      </c>
      <c r="S141" t="s">
        <v>12</v>
      </c>
      <c r="T141" t="s">
        <v>77</v>
      </c>
    </row>
    <row r="142" spans="2:20" x14ac:dyDescent="0.3">
      <c r="B142" s="5">
        <v>14</v>
      </c>
      <c r="C142" s="5">
        <v>8</v>
      </c>
      <c r="D142" s="5">
        <v>302</v>
      </c>
      <c r="E142" s="5">
        <v>140</v>
      </c>
      <c r="F142" s="5">
        <v>4638</v>
      </c>
      <c r="G142" s="4">
        <v>16</v>
      </c>
      <c r="H142" s="5">
        <v>74</v>
      </c>
      <c r="I142" s="6" t="s">
        <v>12</v>
      </c>
      <c r="J142" s="6" t="s">
        <v>79</v>
      </c>
      <c r="L142">
        <v>29</v>
      </c>
      <c r="M142">
        <v>4</v>
      </c>
      <c r="N142">
        <v>98</v>
      </c>
      <c r="O142">
        <v>83</v>
      </c>
      <c r="P142">
        <v>2219</v>
      </c>
      <c r="Q142">
        <v>16.5</v>
      </c>
      <c r="R142">
        <v>74</v>
      </c>
      <c r="S142" t="s">
        <v>33</v>
      </c>
      <c r="T142" t="s">
        <v>128</v>
      </c>
    </row>
    <row r="143" spans="2:20" x14ac:dyDescent="0.3">
      <c r="B143" s="5">
        <v>14</v>
      </c>
      <c r="C143" s="5">
        <v>8</v>
      </c>
      <c r="D143" s="5">
        <v>304</v>
      </c>
      <c r="E143" s="5">
        <v>150</v>
      </c>
      <c r="F143" s="5">
        <v>4257</v>
      </c>
      <c r="G143" s="4">
        <v>15.5</v>
      </c>
      <c r="H143" s="5">
        <v>74</v>
      </c>
      <c r="I143" s="6" t="s">
        <v>12</v>
      </c>
      <c r="J143" s="6" t="s">
        <v>77</v>
      </c>
      <c r="L143">
        <v>26</v>
      </c>
      <c r="M143">
        <v>4</v>
      </c>
      <c r="N143">
        <v>79</v>
      </c>
      <c r="O143">
        <v>67</v>
      </c>
      <c r="P143">
        <v>1963</v>
      </c>
      <c r="Q143">
        <v>15.5</v>
      </c>
      <c r="R143">
        <v>74</v>
      </c>
      <c r="S143" t="s">
        <v>33</v>
      </c>
      <c r="T143" t="s">
        <v>129</v>
      </c>
    </row>
    <row r="144" spans="2:20" x14ac:dyDescent="0.3">
      <c r="B144" s="5">
        <v>29</v>
      </c>
      <c r="C144" s="5">
        <v>4</v>
      </c>
      <c r="D144" s="5">
        <v>98</v>
      </c>
      <c r="E144" s="5">
        <v>83</v>
      </c>
      <c r="F144" s="5">
        <v>2219</v>
      </c>
      <c r="G144" s="4">
        <v>16.5</v>
      </c>
      <c r="H144" s="5">
        <v>74</v>
      </c>
      <c r="I144" s="6" t="s">
        <v>33</v>
      </c>
      <c r="J144" s="6" t="s">
        <v>128</v>
      </c>
      <c r="L144">
        <v>26</v>
      </c>
      <c r="M144">
        <v>4</v>
      </c>
      <c r="N144">
        <v>97</v>
      </c>
      <c r="O144">
        <v>78</v>
      </c>
      <c r="P144">
        <v>2300</v>
      </c>
      <c r="Q144">
        <v>14.5</v>
      </c>
      <c r="R144">
        <v>74</v>
      </c>
      <c r="S144" t="s">
        <v>33</v>
      </c>
      <c r="T144" t="s">
        <v>115</v>
      </c>
    </row>
    <row r="145" spans="2:20" x14ac:dyDescent="0.3">
      <c r="B145" s="5">
        <v>26</v>
      </c>
      <c r="C145" s="5">
        <v>4</v>
      </c>
      <c r="D145" s="5">
        <v>79</v>
      </c>
      <c r="E145" s="5">
        <v>67</v>
      </c>
      <c r="F145" s="5">
        <v>1963</v>
      </c>
      <c r="G145" s="4">
        <v>15.5</v>
      </c>
      <c r="H145" s="5">
        <v>74</v>
      </c>
      <c r="I145" s="6" t="s">
        <v>33</v>
      </c>
      <c r="J145" s="6" t="s">
        <v>129</v>
      </c>
      <c r="L145">
        <v>31</v>
      </c>
      <c r="M145">
        <v>4</v>
      </c>
      <c r="N145">
        <v>76</v>
      </c>
      <c r="O145">
        <v>52</v>
      </c>
      <c r="P145">
        <v>1649</v>
      </c>
      <c r="Q145">
        <v>16.5</v>
      </c>
      <c r="R145">
        <v>74</v>
      </c>
      <c r="S145" t="s">
        <v>27</v>
      </c>
      <c r="T145" t="s">
        <v>45</v>
      </c>
    </row>
    <row r="146" spans="2:20" x14ac:dyDescent="0.3">
      <c r="B146" s="5">
        <v>26</v>
      </c>
      <c r="C146" s="5">
        <v>4</v>
      </c>
      <c r="D146" s="5">
        <v>97</v>
      </c>
      <c r="E146" s="5">
        <v>78</v>
      </c>
      <c r="F146" s="5">
        <v>2300</v>
      </c>
      <c r="G146" s="4">
        <v>14.5</v>
      </c>
      <c r="H146" s="5">
        <v>74</v>
      </c>
      <c r="I146" s="6" t="s">
        <v>33</v>
      </c>
      <c r="J146" s="6" t="s">
        <v>115</v>
      </c>
      <c r="L146">
        <v>32</v>
      </c>
      <c r="M146">
        <v>4</v>
      </c>
      <c r="N146">
        <v>83</v>
      </c>
      <c r="O146">
        <v>61</v>
      </c>
      <c r="P146">
        <v>2003</v>
      </c>
      <c r="Q146">
        <v>19</v>
      </c>
      <c r="R146">
        <v>74</v>
      </c>
      <c r="S146" t="s">
        <v>27</v>
      </c>
      <c r="T146" t="s">
        <v>130</v>
      </c>
    </row>
    <row r="147" spans="2:20" x14ac:dyDescent="0.3">
      <c r="B147" s="5">
        <v>31</v>
      </c>
      <c r="C147" s="5">
        <v>4</v>
      </c>
      <c r="D147" s="5">
        <v>76</v>
      </c>
      <c r="E147" s="5">
        <v>52</v>
      </c>
      <c r="F147" s="5">
        <v>1649</v>
      </c>
      <c r="G147" s="4">
        <v>16.5</v>
      </c>
      <c r="H147" s="5">
        <v>74</v>
      </c>
      <c r="I147" s="6" t="s">
        <v>27</v>
      </c>
      <c r="J147" s="6" t="s">
        <v>45</v>
      </c>
      <c r="L147">
        <v>28</v>
      </c>
      <c r="M147">
        <v>4</v>
      </c>
      <c r="N147">
        <v>90</v>
      </c>
      <c r="O147">
        <v>75</v>
      </c>
      <c r="P147">
        <v>2125</v>
      </c>
      <c r="Q147">
        <v>14.5</v>
      </c>
      <c r="R147">
        <v>74</v>
      </c>
      <c r="S147" t="s">
        <v>12</v>
      </c>
      <c r="T147" t="s">
        <v>131</v>
      </c>
    </row>
    <row r="148" spans="2:20" x14ac:dyDescent="0.3">
      <c r="B148" s="5">
        <v>32</v>
      </c>
      <c r="C148" s="5">
        <v>4</v>
      </c>
      <c r="D148" s="5">
        <v>83</v>
      </c>
      <c r="E148" s="5">
        <v>61</v>
      </c>
      <c r="F148" s="5">
        <v>2003</v>
      </c>
      <c r="G148" s="4">
        <v>19</v>
      </c>
      <c r="H148" s="5">
        <v>74</v>
      </c>
      <c r="I148" s="6" t="s">
        <v>27</v>
      </c>
      <c r="J148" s="6" t="s">
        <v>130</v>
      </c>
      <c r="L148">
        <v>24</v>
      </c>
      <c r="M148">
        <v>4</v>
      </c>
      <c r="N148">
        <v>90</v>
      </c>
      <c r="O148">
        <v>75</v>
      </c>
      <c r="P148">
        <v>2108</v>
      </c>
      <c r="Q148">
        <v>15.5</v>
      </c>
      <c r="R148">
        <v>74</v>
      </c>
      <c r="S148" t="s">
        <v>33</v>
      </c>
      <c r="T148" t="s">
        <v>114</v>
      </c>
    </row>
    <row r="149" spans="2:20" x14ac:dyDescent="0.3">
      <c r="B149" s="5">
        <v>28</v>
      </c>
      <c r="C149" s="5">
        <v>4</v>
      </c>
      <c r="D149" s="5">
        <v>90</v>
      </c>
      <c r="E149" s="5">
        <v>75</v>
      </c>
      <c r="F149" s="5">
        <v>2125</v>
      </c>
      <c r="G149" s="4">
        <v>14.5</v>
      </c>
      <c r="H149" s="5">
        <v>74</v>
      </c>
      <c r="I149" s="6" t="s">
        <v>12</v>
      </c>
      <c r="J149" s="6" t="s">
        <v>131</v>
      </c>
      <c r="L149">
        <v>26</v>
      </c>
      <c r="M149">
        <v>4</v>
      </c>
      <c r="N149">
        <v>116</v>
      </c>
      <c r="O149">
        <v>75</v>
      </c>
      <c r="P149">
        <v>2246</v>
      </c>
      <c r="Q149">
        <v>14</v>
      </c>
      <c r="R149">
        <v>74</v>
      </c>
      <c r="S149" t="s">
        <v>33</v>
      </c>
      <c r="T149" t="s">
        <v>132</v>
      </c>
    </row>
    <row r="150" spans="2:20" x14ac:dyDescent="0.3">
      <c r="B150" s="5">
        <v>24</v>
      </c>
      <c r="C150" s="5">
        <v>4</v>
      </c>
      <c r="D150" s="5">
        <v>90</v>
      </c>
      <c r="E150" s="5">
        <v>75</v>
      </c>
      <c r="F150" s="5">
        <v>2108</v>
      </c>
      <c r="G150" s="4">
        <v>15.5</v>
      </c>
      <c r="H150" s="5">
        <v>74</v>
      </c>
      <c r="I150" s="6" t="s">
        <v>33</v>
      </c>
      <c r="J150" s="6" t="s">
        <v>114</v>
      </c>
      <c r="L150">
        <v>24</v>
      </c>
      <c r="M150">
        <v>4</v>
      </c>
      <c r="N150">
        <v>120</v>
      </c>
      <c r="O150">
        <v>97</v>
      </c>
      <c r="P150">
        <v>2489</v>
      </c>
      <c r="Q150">
        <v>15</v>
      </c>
      <c r="R150">
        <v>74</v>
      </c>
      <c r="S150" t="s">
        <v>27</v>
      </c>
      <c r="T150" t="s">
        <v>133</v>
      </c>
    </row>
    <row r="151" spans="2:20" x14ac:dyDescent="0.3">
      <c r="B151" s="5">
        <v>26</v>
      </c>
      <c r="C151" s="5">
        <v>4</v>
      </c>
      <c r="D151" s="5">
        <v>116</v>
      </c>
      <c r="E151" s="5">
        <v>75</v>
      </c>
      <c r="F151" s="5">
        <v>2246</v>
      </c>
      <c r="G151" s="4">
        <v>14</v>
      </c>
      <c r="H151" s="5">
        <v>74</v>
      </c>
      <c r="I151" s="6" t="s">
        <v>33</v>
      </c>
      <c r="J151" s="6" t="s">
        <v>132</v>
      </c>
      <c r="L151">
        <v>26</v>
      </c>
      <c r="M151">
        <v>4</v>
      </c>
      <c r="N151">
        <v>108</v>
      </c>
      <c r="O151">
        <v>93</v>
      </c>
      <c r="P151">
        <v>2391</v>
      </c>
      <c r="Q151">
        <v>15.5</v>
      </c>
      <c r="R151">
        <v>74</v>
      </c>
      <c r="S151" t="s">
        <v>27</v>
      </c>
      <c r="T151" t="s">
        <v>134</v>
      </c>
    </row>
    <row r="152" spans="2:20" x14ac:dyDescent="0.3">
      <c r="B152" s="5">
        <v>24</v>
      </c>
      <c r="C152" s="5">
        <v>4</v>
      </c>
      <c r="D152" s="5">
        <v>120</v>
      </c>
      <c r="E152" s="5">
        <v>97</v>
      </c>
      <c r="F152" s="5">
        <v>2489</v>
      </c>
      <c r="G152" s="4">
        <v>15</v>
      </c>
      <c r="H152" s="5">
        <v>74</v>
      </c>
      <c r="I152" s="6" t="s">
        <v>27</v>
      </c>
      <c r="J152" s="6" t="s">
        <v>133</v>
      </c>
      <c r="L152">
        <v>31</v>
      </c>
      <c r="M152">
        <v>4</v>
      </c>
      <c r="N152">
        <v>79</v>
      </c>
      <c r="O152">
        <v>67</v>
      </c>
      <c r="P152">
        <v>2000</v>
      </c>
      <c r="Q152">
        <v>16</v>
      </c>
      <c r="R152">
        <v>74</v>
      </c>
      <c r="S152" t="s">
        <v>33</v>
      </c>
      <c r="T152" t="s">
        <v>135</v>
      </c>
    </row>
    <row r="153" spans="2:20" x14ac:dyDescent="0.3">
      <c r="B153" s="5">
        <v>26</v>
      </c>
      <c r="C153" s="5">
        <v>4</v>
      </c>
      <c r="D153" s="5">
        <v>108</v>
      </c>
      <c r="E153" s="5">
        <v>93</v>
      </c>
      <c r="F153" s="5">
        <v>2391</v>
      </c>
      <c r="G153" s="4">
        <v>15.5</v>
      </c>
      <c r="H153" s="5">
        <v>74</v>
      </c>
      <c r="I153" s="6" t="s">
        <v>27</v>
      </c>
      <c r="J153" s="6" t="s">
        <v>134</v>
      </c>
      <c r="L153">
        <v>19</v>
      </c>
      <c r="M153">
        <v>6</v>
      </c>
      <c r="N153">
        <v>225</v>
      </c>
      <c r="O153">
        <v>95</v>
      </c>
      <c r="P153">
        <v>3264</v>
      </c>
      <c r="Q153">
        <v>16</v>
      </c>
      <c r="R153">
        <v>75</v>
      </c>
      <c r="S153" t="s">
        <v>12</v>
      </c>
      <c r="T153" t="s">
        <v>136</v>
      </c>
    </row>
    <row r="154" spans="2:20" x14ac:dyDescent="0.3">
      <c r="B154" s="5">
        <v>31</v>
      </c>
      <c r="C154" s="5">
        <v>4</v>
      </c>
      <c r="D154" s="5">
        <v>79</v>
      </c>
      <c r="E154" s="5">
        <v>67</v>
      </c>
      <c r="F154" s="5">
        <v>2000</v>
      </c>
      <c r="G154" s="4">
        <v>16</v>
      </c>
      <c r="H154" s="5">
        <v>74</v>
      </c>
      <c r="I154" s="6" t="s">
        <v>33</v>
      </c>
      <c r="J154" s="6" t="s">
        <v>135</v>
      </c>
      <c r="L154">
        <v>18</v>
      </c>
      <c r="M154">
        <v>6</v>
      </c>
      <c r="N154">
        <v>250</v>
      </c>
      <c r="O154">
        <v>105</v>
      </c>
      <c r="P154">
        <v>3459</v>
      </c>
      <c r="Q154">
        <v>16</v>
      </c>
      <c r="R154">
        <v>75</v>
      </c>
      <c r="S154" t="s">
        <v>12</v>
      </c>
      <c r="T154" t="s">
        <v>122</v>
      </c>
    </row>
    <row r="155" spans="2:20" x14ac:dyDescent="0.3">
      <c r="B155" s="5">
        <v>19</v>
      </c>
      <c r="C155" s="5">
        <v>6</v>
      </c>
      <c r="D155" s="5">
        <v>225</v>
      </c>
      <c r="E155" s="5">
        <v>95</v>
      </c>
      <c r="F155" s="5">
        <v>3264</v>
      </c>
      <c r="G155" s="4">
        <v>16</v>
      </c>
      <c r="H155" s="5">
        <v>75</v>
      </c>
      <c r="I155" s="6" t="s">
        <v>12</v>
      </c>
      <c r="J155" s="6" t="s">
        <v>136</v>
      </c>
      <c r="L155">
        <v>15</v>
      </c>
      <c r="M155">
        <v>6</v>
      </c>
      <c r="N155">
        <v>250</v>
      </c>
      <c r="O155">
        <v>72</v>
      </c>
      <c r="P155">
        <v>3432</v>
      </c>
      <c r="Q155">
        <v>21</v>
      </c>
      <c r="R155">
        <v>75</v>
      </c>
      <c r="S155" t="s">
        <v>12</v>
      </c>
      <c r="T155" t="s">
        <v>137</v>
      </c>
    </row>
    <row r="156" spans="2:20" x14ac:dyDescent="0.3">
      <c r="B156" s="5">
        <v>18</v>
      </c>
      <c r="C156" s="5">
        <v>6</v>
      </c>
      <c r="D156" s="5">
        <v>250</v>
      </c>
      <c r="E156" s="5">
        <v>105</v>
      </c>
      <c r="F156" s="5">
        <v>3459</v>
      </c>
      <c r="G156" s="4">
        <v>16</v>
      </c>
      <c r="H156" s="5">
        <v>75</v>
      </c>
      <c r="I156" s="6" t="s">
        <v>12</v>
      </c>
      <c r="J156" s="6" t="s">
        <v>122</v>
      </c>
      <c r="L156">
        <v>15</v>
      </c>
      <c r="M156">
        <v>6</v>
      </c>
      <c r="N156">
        <v>250</v>
      </c>
      <c r="O156">
        <v>72</v>
      </c>
      <c r="P156">
        <v>3158</v>
      </c>
      <c r="Q156">
        <v>19.5</v>
      </c>
      <c r="R156">
        <v>75</v>
      </c>
      <c r="S156" t="s">
        <v>12</v>
      </c>
      <c r="T156" t="s">
        <v>31</v>
      </c>
    </row>
    <row r="157" spans="2:20" x14ac:dyDescent="0.3">
      <c r="B157" s="5">
        <v>15</v>
      </c>
      <c r="C157" s="5">
        <v>6</v>
      </c>
      <c r="D157" s="5">
        <v>250</v>
      </c>
      <c r="E157" s="5">
        <v>72</v>
      </c>
      <c r="F157" s="5">
        <v>3432</v>
      </c>
      <c r="G157" s="4">
        <v>21</v>
      </c>
      <c r="H157" s="5">
        <v>75</v>
      </c>
      <c r="I157" s="6" t="s">
        <v>12</v>
      </c>
      <c r="J157" s="6" t="s">
        <v>137</v>
      </c>
      <c r="L157">
        <v>16</v>
      </c>
      <c r="M157">
        <v>8</v>
      </c>
      <c r="N157">
        <v>400</v>
      </c>
      <c r="O157">
        <v>170</v>
      </c>
      <c r="P157">
        <v>4668</v>
      </c>
      <c r="Q157">
        <v>11.5</v>
      </c>
      <c r="R157">
        <v>75</v>
      </c>
      <c r="S157" t="s">
        <v>12</v>
      </c>
      <c r="T157" t="s">
        <v>21</v>
      </c>
    </row>
    <row r="158" spans="2:20" x14ac:dyDescent="0.3">
      <c r="B158" s="5">
        <v>15</v>
      </c>
      <c r="C158" s="5">
        <v>6</v>
      </c>
      <c r="D158" s="5">
        <v>250</v>
      </c>
      <c r="E158" s="5">
        <v>72</v>
      </c>
      <c r="F158" s="5">
        <v>3158</v>
      </c>
      <c r="G158" s="4">
        <v>19.5</v>
      </c>
      <c r="H158" s="5">
        <v>75</v>
      </c>
      <c r="I158" s="6" t="s">
        <v>12</v>
      </c>
      <c r="J158" s="6" t="s">
        <v>31</v>
      </c>
      <c r="L158">
        <v>15</v>
      </c>
      <c r="M158">
        <v>8</v>
      </c>
      <c r="N158">
        <v>350</v>
      </c>
      <c r="O158">
        <v>145</v>
      </c>
      <c r="P158">
        <v>4440</v>
      </c>
      <c r="Q158">
        <v>14</v>
      </c>
      <c r="R158">
        <v>75</v>
      </c>
      <c r="S158" t="s">
        <v>12</v>
      </c>
      <c r="T158" t="s">
        <v>138</v>
      </c>
    </row>
    <row r="159" spans="2:20" x14ac:dyDescent="0.3">
      <c r="B159" s="5">
        <v>16</v>
      </c>
      <c r="C159" s="5">
        <v>8</v>
      </c>
      <c r="D159" s="5">
        <v>400</v>
      </c>
      <c r="E159" s="5">
        <v>170</v>
      </c>
      <c r="F159" s="5">
        <v>4668</v>
      </c>
      <c r="G159" s="4">
        <v>11.5</v>
      </c>
      <c r="H159" s="5">
        <v>75</v>
      </c>
      <c r="I159" s="6" t="s">
        <v>12</v>
      </c>
      <c r="J159" s="6" t="s">
        <v>21</v>
      </c>
      <c r="L159">
        <v>16</v>
      </c>
      <c r="M159">
        <v>8</v>
      </c>
      <c r="N159">
        <v>318</v>
      </c>
      <c r="O159">
        <v>150</v>
      </c>
      <c r="P159">
        <v>4498</v>
      </c>
      <c r="Q159">
        <v>14.5</v>
      </c>
      <c r="R159">
        <v>75</v>
      </c>
      <c r="S159" t="s">
        <v>12</v>
      </c>
      <c r="T159" t="s">
        <v>139</v>
      </c>
    </row>
    <row r="160" spans="2:20" x14ac:dyDescent="0.3">
      <c r="B160" s="5">
        <v>15</v>
      </c>
      <c r="C160" s="5">
        <v>8</v>
      </c>
      <c r="D160" s="5">
        <v>350</v>
      </c>
      <c r="E160" s="5">
        <v>145</v>
      </c>
      <c r="F160" s="5">
        <v>4440</v>
      </c>
      <c r="G160" s="4">
        <v>14</v>
      </c>
      <c r="H160" s="5">
        <v>75</v>
      </c>
      <c r="I160" s="6" t="s">
        <v>12</v>
      </c>
      <c r="J160" s="6" t="s">
        <v>138</v>
      </c>
      <c r="L160">
        <v>14</v>
      </c>
      <c r="M160">
        <v>8</v>
      </c>
      <c r="N160">
        <v>351</v>
      </c>
      <c r="O160">
        <v>148</v>
      </c>
      <c r="P160">
        <v>4657</v>
      </c>
      <c r="Q160">
        <v>13.5</v>
      </c>
      <c r="R160">
        <v>75</v>
      </c>
      <c r="S160" t="s">
        <v>12</v>
      </c>
      <c r="T160" t="s">
        <v>96</v>
      </c>
    </row>
    <row r="161" spans="2:20" x14ac:dyDescent="0.3">
      <c r="B161" s="5">
        <v>16</v>
      </c>
      <c r="C161" s="5">
        <v>8</v>
      </c>
      <c r="D161" s="5">
        <v>318</v>
      </c>
      <c r="E161" s="5">
        <v>150</v>
      </c>
      <c r="F161" s="5">
        <v>4498</v>
      </c>
      <c r="G161" s="4">
        <v>14.5</v>
      </c>
      <c r="H161" s="5">
        <v>75</v>
      </c>
      <c r="I161" s="6" t="s">
        <v>12</v>
      </c>
      <c r="J161" s="6" t="s">
        <v>139</v>
      </c>
      <c r="L161">
        <v>17</v>
      </c>
      <c r="M161">
        <v>6</v>
      </c>
      <c r="N161">
        <v>231</v>
      </c>
      <c r="O161">
        <v>110</v>
      </c>
      <c r="P161">
        <v>3907</v>
      </c>
      <c r="Q161">
        <v>21</v>
      </c>
      <c r="R161">
        <v>75</v>
      </c>
      <c r="S161" t="s">
        <v>12</v>
      </c>
      <c r="T161" t="s">
        <v>140</v>
      </c>
    </row>
    <row r="162" spans="2:20" x14ac:dyDescent="0.3">
      <c r="B162" s="5">
        <v>14</v>
      </c>
      <c r="C162" s="5">
        <v>8</v>
      </c>
      <c r="D162" s="5">
        <v>351</v>
      </c>
      <c r="E162" s="5">
        <v>148</v>
      </c>
      <c r="F162" s="5">
        <v>4657</v>
      </c>
      <c r="G162" s="4">
        <v>13.5</v>
      </c>
      <c r="H162" s="5">
        <v>75</v>
      </c>
      <c r="I162" s="6" t="s">
        <v>12</v>
      </c>
      <c r="J162" s="6" t="s">
        <v>96</v>
      </c>
      <c r="L162">
        <v>16</v>
      </c>
      <c r="M162">
        <v>6</v>
      </c>
      <c r="N162">
        <v>250</v>
      </c>
      <c r="O162">
        <v>105</v>
      </c>
      <c r="P162">
        <v>3897</v>
      </c>
      <c r="Q162">
        <v>18.5</v>
      </c>
      <c r="R162">
        <v>75</v>
      </c>
      <c r="S162" t="s">
        <v>12</v>
      </c>
      <c r="T162" t="s">
        <v>141</v>
      </c>
    </row>
    <row r="163" spans="2:20" x14ac:dyDescent="0.3">
      <c r="B163" s="5">
        <v>17</v>
      </c>
      <c r="C163" s="5">
        <v>6</v>
      </c>
      <c r="D163" s="5">
        <v>231</v>
      </c>
      <c r="E163" s="5">
        <v>110</v>
      </c>
      <c r="F163" s="5">
        <v>3907</v>
      </c>
      <c r="G163" s="4">
        <v>21</v>
      </c>
      <c r="H163" s="5">
        <v>75</v>
      </c>
      <c r="I163" s="6" t="s">
        <v>12</v>
      </c>
      <c r="J163" s="6" t="s">
        <v>140</v>
      </c>
      <c r="L163">
        <v>15</v>
      </c>
      <c r="M163">
        <v>6</v>
      </c>
      <c r="N163">
        <v>258</v>
      </c>
      <c r="O163">
        <v>110</v>
      </c>
      <c r="P163">
        <v>3730</v>
      </c>
      <c r="Q163">
        <v>19</v>
      </c>
      <c r="R163">
        <v>75</v>
      </c>
      <c r="S163" t="s">
        <v>12</v>
      </c>
      <c r="T163" t="s">
        <v>49</v>
      </c>
    </row>
    <row r="164" spans="2:20" x14ac:dyDescent="0.3">
      <c r="B164" s="5">
        <v>16</v>
      </c>
      <c r="C164" s="5">
        <v>6</v>
      </c>
      <c r="D164" s="5">
        <v>250</v>
      </c>
      <c r="E164" s="5">
        <v>105</v>
      </c>
      <c r="F164" s="5">
        <v>3897</v>
      </c>
      <c r="G164" s="4">
        <v>18.5</v>
      </c>
      <c r="H164" s="5">
        <v>75</v>
      </c>
      <c r="I164" s="6" t="s">
        <v>12</v>
      </c>
      <c r="J164" s="6" t="s">
        <v>141</v>
      </c>
      <c r="L164">
        <v>18</v>
      </c>
      <c r="M164">
        <v>6</v>
      </c>
      <c r="N164">
        <v>225</v>
      </c>
      <c r="O164">
        <v>95</v>
      </c>
      <c r="P164">
        <v>3785</v>
      </c>
      <c r="Q164">
        <v>19</v>
      </c>
      <c r="R164">
        <v>75</v>
      </c>
      <c r="S164" t="s">
        <v>12</v>
      </c>
      <c r="T164" t="s">
        <v>142</v>
      </c>
    </row>
    <row r="165" spans="2:20" x14ac:dyDescent="0.3">
      <c r="B165" s="5">
        <v>15</v>
      </c>
      <c r="C165" s="5">
        <v>6</v>
      </c>
      <c r="D165" s="5">
        <v>258</v>
      </c>
      <c r="E165" s="5">
        <v>110</v>
      </c>
      <c r="F165" s="5">
        <v>3730</v>
      </c>
      <c r="G165" s="4">
        <v>19</v>
      </c>
      <c r="H165" s="5">
        <v>75</v>
      </c>
      <c r="I165" s="6" t="s">
        <v>12</v>
      </c>
      <c r="J165" s="6" t="s">
        <v>49</v>
      </c>
      <c r="L165">
        <v>21</v>
      </c>
      <c r="M165">
        <v>6</v>
      </c>
      <c r="N165">
        <v>231</v>
      </c>
      <c r="O165">
        <v>110</v>
      </c>
      <c r="P165">
        <v>3039</v>
      </c>
      <c r="Q165">
        <v>15</v>
      </c>
      <c r="R165">
        <v>75</v>
      </c>
      <c r="S165" t="s">
        <v>12</v>
      </c>
      <c r="T165" t="s">
        <v>143</v>
      </c>
    </row>
    <row r="166" spans="2:20" x14ac:dyDescent="0.3">
      <c r="B166" s="5">
        <v>18</v>
      </c>
      <c r="C166" s="5">
        <v>6</v>
      </c>
      <c r="D166" s="5">
        <v>225</v>
      </c>
      <c r="E166" s="5">
        <v>95</v>
      </c>
      <c r="F166" s="5">
        <v>3785</v>
      </c>
      <c r="G166" s="4">
        <v>19</v>
      </c>
      <c r="H166" s="5">
        <v>75</v>
      </c>
      <c r="I166" s="6" t="s">
        <v>12</v>
      </c>
      <c r="J166" s="6" t="s">
        <v>142</v>
      </c>
      <c r="L166">
        <v>20</v>
      </c>
      <c r="M166">
        <v>8</v>
      </c>
      <c r="N166">
        <v>262</v>
      </c>
      <c r="O166">
        <v>110</v>
      </c>
      <c r="P166">
        <v>3221</v>
      </c>
      <c r="Q166">
        <v>13.5</v>
      </c>
      <c r="R166">
        <v>75</v>
      </c>
      <c r="S166" t="s">
        <v>12</v>
      </c>
      <c r="T166" t="s">
        <v>144</v>
      </c>
    </row>
    <row r="167" spans="2:20" x14ac:dyDescent="0.3">
      <c r="B167" s="5">
        <v>21</v>
      </c>
      <c r="C167" s="5">
        <v>6</v>
      </c>
      <c r="D167" s="5">
        <v>231</v>
      </c>
      <c r="E167" s="5">
        <v>110</v>
      </c>
      <c r="F167" s="5">
        <v>3039</v>
      </c>
      <c r="G167" s="4">
        <v>15</v>
      </c>
      <c r="H167" s="5">
        <v>75</v>
      </c>
      <c r="I167" s="6" t="s">
        <v>12</v>
      </c>
      <c r="J167" s="6" t="s">
        <v>143</v>
      </c>
      <c r="L167">
        <v>13</v>
      </c>
      <c r="M167">
        <v>8</v>
      </c>
      <c r="N167">
        <v>302</v>
      </c>
      <c r="O167">
        <v>129</v>
      </c>
      <c r="P167">
        <v>3169</v>
      </c>
      <c r="Q167">
        <v>12</v>
      </c>
      <c r="R167">
        <v>75</v>
      </c>
      <c r="S167" t="s">
        <v>12</v>
      </c>
      <c r="T167" t="s">
        <v>145</v>
      </c>
    </row>
    <row r="168" spans="2:20" x14ac:dyDescent="0.3">
      <c r="B168" s="5">
        <v>20</v>
      </c>
      <c r="C168" s="5">
        <v>8</v>
      </c>
      <c r="D168" s="5">
        <v>262</v>
      </c>
      <c r="E168" s="5">
        <v>110</v>
      </c>
      <c r="F168" s="5">
        <v>3221</v>
      </c>
      <c r="G168" s="4">
        <v>13.5</v>
      </c>
      <c r="H168" s="5">
        <v>75</v>
      </c>
      <c r="I168" s="6" t="s">
        <v>12</v>
      </c>
      <c r="J168" s="6" t="s">
        <v>144</v>
      </c>
      <c r="L168">
        <v>29</v>
      </c>
      <c r="M168">
        <v>4</v>
      </c>
      <c r="N168">
        <v>97</v>
      </c>
      <c r="O168">
        <v>75</v>
      </c>
      <c r="P168">
        <v>2171</v>
      </c>
      <c r="Q168">
        <v>16</v>
      </c>
      <c r="R168">
        <v>75</v>
      </c>
      <c r="S168" t="s">
        <v>27</v>
      </c>
      <c r="T168" t="s">
        <v>146</v>
      </c>
    </row>
    <row r="169" spans="2:20" x14ac:dyDescent="0.3">
      <c r="B169" s="5">
        <v>13</v>
      </c>
      <c r="C169" s="5">
        <v>8</v>
      </c>
      <c r="D169" s="5">
        <v>302</v>
      </c>
      <c r="E169" s="5">
        <v>129</v>
      </c>
      <c r="F169" s="5">
        <v>3169</v>
      </c>
      <c r="G169" s="4">
        <v>12</v>
      </c>
      <c r="H169" s="5">
        <v>75</v>
      </c>
      <c r="I169" s="6" t="s">
        <v>12</v>
      </c>
      <c r="J169" s="6" t="s">
        <v>145</v>
      </c>
      <c r="L169">
        <v>23</v>
      </c>
      <c r="M169">
        <v>4</v>
      </c>
      <c r="N169">
        <v>140</v>
      </c>
      <c r="O169">
        <v>83</v>
      </c>
      <c r="P169">
        <v>2639</v>
      </c>
      <c r="Q169">
        <v>17</v>
      </c>
      <c r="R169">
        <v>75</v>
      </c>
      <c r="S169" t="s">
        <v>12</v>
      </c>
      <c r="T169" t="s">
        <v>46</v>
      </c>
    </row>
    <row r="170" spans="2:20" x14ac:dyDescent="0.3">
      <c r="B170" s="5">
        <v>29</v>
      </c>
      <c r="C170" s="5">
        <v>4</v>
      </c>
      <c r="D170" s="5">
        <v>97</v>
      </c>
      <c r="E170" s="5">
        <v>75</v>
      </c>
      <c r="F170" s="5">
        <v>2171</v>
      </c>
      <c r="G170" s="4">
        <v>16</v>
      </c>
      <c r="H170" s="5">
        <v>75</v>
      </c>
      <c r="I170" s="6" t="s">
        <v>27</v>
      </c>
      <c r="J170" s="6" t="s">
        <v>146</v>
      </c>
      <c r="L170">
        <v>20</v>
      </c>
      <c r="M170">
        <v>6</v>
      </c>
      <c r="N170">
        <v>232</v>
      </c>
      <c r="O170">
        <v>100</v>
      </c>
      <c r="P170">
        <v>2914</v>
      </c>
      <c r="Q170">
        <v>16</v>
      </c>
      <c r="R170">
        <v>75</v>
      </c>
      <c r="S170" t="s">
        <v>12</v>
      </c>
      <c r="T170" t="s">
        <v>39</v>
      </c>
    </row>
    <row r="171" spans="2:20" x14ac:dyDescent="0.3">
      <c r="B171" s="5">
        <v>23</v>
      </c>
      <c r="C171" s="5">
        <v>4</v>
      </c>
      <c r="D171" s="5">
        <v>140</v>
      </c>
      <c r="E171" s="5">
        <v>83</v>
      </c>
      <c r="F171" s="5">
        <v>2639</v>
      </c>
      <c r="G171" s="4">
        <v>17</v>
      </c>
      <c r="H171" s="5">
        <v>75</v>
      </c>
      <c r="I171" s="6" t="s">
        <v>12</v>
      </c>
      <c r="J171" s="6" t="s">
        <v>46</v>
      </c>
      <c r="L171">
        <v>23</v>
      </c>
      <c r="M171">
        <v>4</v>
      </c>
      <c r="N171">
        <v>140</v>
      </c>
      <c r="O171">
        <v>78</v>
      </c>
      <c r="P171">
        <v>2592</v>
      </c>
      <c r="Q171">
        <v>18.5</v>
      </c>
      <c r="R171">
        <v>75</v>
      </c>
      <c r="S171" t="s">
        <v>12</v>
      </c>
      <c r="T171" t="s">
        <v>147</v>
      </c>
    </row>
    <row r="172" spans="2:20" x14ac:dyDescent="0.3">
      <c r="B172" s="5">
        <v>20</v>
      </c>
      <c r="C172" s="5">
        <v>6</v>
      </c>
      <c r="D172" s="5">
        <v>232</v>
      </c>
      <c r="E172" s="5">
        <v>100</v>
      </c>
      <c r="F172" s="5">
        <v>2914</v>
      </c>
      <c r="G172" s="4">
        <v>16</v>
      </c>
      <c r="H172" s="5">
        <v>75</v>
      </c>
      <c r="I172" s="6" t="s">
        <v>12</v>
      </c>
      <c r="J172" s="6" t="s">
        <v>39</v>
      </c>
      <c r="L172">
        <v>24</v>
      </c>
      <c r="M172">
        <v>4</v>
      </c>
      <c r="N172">
        <v>134</v>
      </c>
      <c r="O172">
        <v>96</v>
      </c>
      <c r="P172">
        <v>2702</v>
      </c>
      <c r="Q172">
        <v>13.5</v>
      </c>
      <c r="R172">
        <v>75</v>
      </c>
      <c r="S172" t="s">
        <v>27</v>
      </c>
      <c r="T172" t="s">
        <v>45</v>
      </c>
    </row>
    <row r="173" spans="2:20" x14ac:dyDescent="0.3">
      <c r="B173" s="5">
        <v>23</v>
      </c>
      <c r="C173" s="5">
        <v>4</v>
      </c>
      <c r="D173" s="5">
        <v>140</v>
      </c>
      <c r="E173" s="5">
        <v>78</v>
      </c>
      <c r="F173" s="5">
        <v>2592</v>
      </c>
      <c r="G173" s="4">
        <v>18.5</v>
      </c>
      <c r="H173" s="5">
        <v>75</v>
      </c>
      <c r="I173" s="6" t="s">
        <v>12</v>
      </c>
      <c r="J173" s="6" t="s">
        <v>147</v>
      </c>
      <c r="L173">
        <v>25</v>
      </c>
      <c r="M173">
        <v>4</v>
      </c>
      <c r="N173">
        <v>90</v>
      </c>
      <c r="O173">
        <v>71</v>
      </c>
      <c r="P173">
        <v>2223</v>
      </c>
      <c r="Q173">
        <v>16.5</v>
      </c>
      <c r="R173">
        <v>75</v>
      </c>
      <c r="S173" t="s">
        <v>33</v>
      </c>
      <c r="T173" t="s">
        <v>129</v>
      </c>
    </row>
    <row r="174" spans="2:20" x14ac:dyDescent="0.3">
      <c r="B174" s="5">
        <v>24</v>
      </c>
      <c r="C174" s="5">
        <v>4</v>
      </c>
      <c r="D174" s="5">
        <v>134</v>
      </c>
      <c r="E174" s="5">
        <v>96</v>
      </c>
      <c r="F174" s="5">
        <v>2702</v>
      </c>
      <c r="G174" s="4">
        <v>13.5</v>
      </c>
      <c r="H174" s="5">
        <v>75</v>
      </c>
      <c r="I174" s="6" t="s">
        <v>27</v>
      </c>
      <c r="J174" s="6" t="s">
        <v>45</v>
      </c>
      <c r="L174">
        <v>24</v>
      </c>
      <c r="M174">
        <v>4</v>
      </c>
      <c r="N174">
        <v>119</v>
      </c>
      <c r="O174">
        <v>97</v>
      </c>
      <c r="P174">
        <v>2545</v>
      </c>
      <c r="Q174">
        <v>17</v>
      </c>
      <c r="R174">
        <v>75</v>
      </c>
      <c r="S174" t="s">
        <v>27</v>
      </c>
      <c r="T174" t="s">
        <v>130</v>
      </c>
    </row>
    <row r="175" spans="2:20" x14ac:dyDescent="0.3">
      <c r="B175" s="5">
        <v>25</v>
      </c>
      <c r="C175" s="5">
        <v>4</v>
      </c>
      <c r="D175" s="5">
        <v>90</v>
      </c>
      <c r="E175" s="5">
        <v>71</v>
      </c>
      <c r="F175" s="5">
        <v>2223</v>
      </c>
      <c r="G175" s="4">
        <v>16.5</v>
      </c>
      <c r="H175" s="5">
        <v>75</v>
      </c>
      <c r="I175" s="6" t="s">
        <v>33</v>
      </c>
      <c r="J175" s="6" t="s">
        <v>129</v>
      </c>
      <c r="L175">
        <v>18</v>
      </c>
      <c r="M175">
        <v>6</v>
      </c>
      <c r="N175">
        <v>171</v>
      </c>
      <c r="O175">
        <v>97</v>
      </c>
      <c r="P175">
        <v>2984</v>
      </c>
      <c r="Q175">
        <v>14.5</v>
      </c>
      <c r="R175">
        <v>75</v>
      </c>
      <c r="S175" t="s">
        <v>12</v>
      </c>
      <c r="T175" t="s">
        <v>46</v>
      </c>
    </row>
    <row r="176" spans="2:20" x14ac:dyDescent="0.3">
      <c r="B176" s="5">
        <v>24</v>
      </c>
      <c r="C176" s="5">
        <v>4</v>
      </c>
      <c r="D176" s="5">
        <v>119</v>
      </c>
      <c r="E176" s="5">
        <v>97</v>
      </c>
      <c r="F176" s="5">
        <v>2545</v>
      </c>
      <c r="G176" s="4">
        <v>17</v>
      </c>
      <c r="H176" s="5">
        <v>75</v>
      </c>
      <c r="I176" s="6" t="s">
        <v>27</v>
      </c>
      <c r="J176" s="6" t="s">
        <v>130</v>
      </c>
      <c r="L176">
        <v>29</v>
      </c>
      <c r="M176">
        <v>4</v>
      </c>
      <c r="N176">
        <v>90</v>
      </c>
      <c r="O176">
        <v>70</v>
      </c>
      <c r="P176">
        <v>1937</v>
      </c>
      <c r="Q176">
        <v>14</v>
      </c>
      <c r="R176">
        <v>75</v>
      </c>
      <c r="S176" t="s">
        <v>33</v>
      </c>
      <c r="T176" t="s">
        <v>148</v>
      </c>
    </row>
    <row r="177" spans="2:20" x14ac:dyDescent="0.3">
      <c r="B177" s="5">
        <v>18</v>
      </c>
      <c r="C177" s="5">
        <v>6</v>
      </c>
      <c r="D177" s="5">
        <v>171</v>
      </c>
      <c r="E177" s="5">
        <v>97</v>
      </c>
      <c r="F177" s="5">
        <v>2984</v>
      </c>
      <c r="G177" s="4">
        <v>14.5</v>
      </c>
      <c r="H177" s="5">
        <v>75</v>
      </c>
      <c r="I177" s="6" t="s">
        <v>12</v>
      </c>
      <c r="J177" s="6" t="s">
        <v>46</v>
      </c>
      <c r="L177">
        <v>19</v>
      </c>
      <c r="M177">
        <v>6</v>
      </c>
      <c r="N177">
        <v>232</v>
      </c>
      <c r="O177">
        <v>90</v>
      </c>
      <c r="P177">
        <v>3211</v>
      </c>
      <c r="Q177">
        <v>17</v>
      </c>
      <c r="R177">
        <v>75</v>
      </c>
      <c r="S177" t="s">
        <v>12</v>
      </c>
      <c r="T177" t="s">
        <v>149</v>
      </c>
    </row>
    <row r="178" spans="2:20" x14ac:dyDescent="0.3">
      <c r="B178" s="5">
        <v>29</v>
      </c>
      <c r="C178" s="5">
        <v>4</v>
      </c>
      <c r="D178" s="5">
        <v>90</v>
      </c>
      <c r="E178" s="5">
        <v>70</v>
      </c>
      <c r="F178" s="5">
        <v>1937</v>
      </c>
      <c r="G178" s="4">
        <v>14</v>
      </c>
      <c r="H178" s="5">
        <v>75</v>
      </c>
      <c r="I178" s="6" t="s">
        <v>33</v>
      </c>
      <c r="J178" s="6" t="s">
        <v>148</v>
      </c>
      <c r="L178">
        <v>23</v>
      </c>
      <c r="M178">
        <v>4</v>
      </c>
      <c r="N178">
        <v>115</v>
      </c>
      <c r="O178">
        <v>95</v>
      </c>
      <c r="P178">
        <v>2694</v>
      </c>
      <c r="Q178">
        <v>15</v>
      </c>
      <c r="R178">
        <v>75</v>
      </c>
      <c r="S178" t="s">
        <v>33</v>
      </c>
      <c r="T178" t="s">
        <v>116</v>
      </c>
    </row>
    <row r="179" spans="2:20" x14ac:dyDescent="0.3">
      <c r="B179" s="5">
        <v>19</v>
      </c>
      <c r="C179" s="5">
        <v>6</v>
      </c>
      <c r="D179" s="5">
        <v>232</v>
      </c>
      <c r="E179" s="5">
        <v>90</v>
      </c>
      <c r="F179" s="5">
        <v>3211</v>
      </c>
      <c r="G179" s="4">
        <v>17</v>
      </c>
      <c r="H179" s="5">
        <v>75</v>
      </c>
      <c r="I179" s="6" t="s">
        <v>12</v>
      </c>
      <c r="J179" s="6" t="s">
        <v>149</v>
      </c>
      <c r="L179">
        <v>23</v>
      </c>
      <c r="M179">
        <v>4</v>
      </c>
      <c r="N179">
        <v>120</v>
      </c>
      <c r="O179">
        <v>88</v>
      </c>
      <c r="P179">
        <v>2957</v>
      </c>
      <c r="Q179">
        <v>17</v>
      </c>
      <c r="R179">
        <v>75</v>
      </c>
      <c r="S179" t="s">
        <v>33</v>
      </c>
      <c r="T179" t="s">
        <v>35</v>
      </c>
    </row>
    <row r="180" spans="2:20" x14ac:dyDescent="0.3">
      <c r="B180" s="5">
        <v>23</v>
      </c>
      <c r="C180" s="5">
        <v>4</v>
      </c>
      <c r="D180" s="5">
        <v>115</v>
      </c>
      <c r="E180" s="5">
        <v>95</v>
      </c>
      <c r="F180" s="5">
        <v>2694</v>
      </c>
      <c r="G180" s="4">
        <v>15</v>
      </c>
      <c r="H180" s="5">
        <v>75</v>
      </c>
      <c r="I180" s="6" t="s">
        <v>33</v>
      </c>
      <c r="J180" s="6" t="s">
        <v>116</v>
      </c>
      <c r="L180">
        <v>22</v>
      </c>
      <c r="M180">
        <v>4</v>
      </c>
      <c r="N180">
        <v>121</v>
      </c>
      <c r="O180">
        <v>98</v>
      </c>
      <c r="P180">
        <v>2945</v>
      </c>
      <c r="Q180">
        <v>14.5</v>
      </c>
      <c r="R180">
        <v>75</v>
      </c>
      <c r="S180" t="s">
        <v>33</v>
      </c>
      <c r="T180" t="s">
        <v>150</v>
      </c>
    </row>
    <row r="181" spans="2:20" x14ac:dyDescent="0.3">
      <c r="B181" s="5">
        <v>23</v>
      </c>
      <c r="C181" s="5">
        <v>4</v>
      </c>
      <c r="D181" s="5">
        <v>120</v>
      </c>
      <c r="E181" s="5">
        <v>88</v>
      </c>
      <c r="F181" s="5">
        <v>2957</v>
      </c>
      <c r="G181" s="4">
        <v>17</v>
      </c>
      <c r="H181" s="5">
        <v>75</v>
      </c>
      <c r="I181" s="6" t="s">
        <v>33</v>
      </c>
      <c r="J181" s="6" t="s">
        <v>35</v>
      </c>
      <c r="L181">
        <v>25</v>
      </c>
      <c r="M181">
        <v>4</v>
      </c>
      <c r="N181">
        <v>121</v>
      </c>
      <c r="O181">
        <v>115</v>
      </c>
      <c r="P181">
        <v>2671</v>
      </c>
      <c r="Q181">
        <v>13.5</v>
      </c>
      <c r="R181">
        <v>75</v>
      </c>
      <c r="S181" t="s">
        <v>33</v>
      </c>
      <c r="T181" t="s">
        <v>119</v>
      </c>
    </row>
    <row r="182" spans="2:20" x14ac:dyDescent="0.3">
      <c r="B182" s="5">
        <v>22</v>
      </c>
      <c r="C182" s="5">
        <v>4</v>
      </c>
      <c r="D182" s="5">
        <v>121</v>
      </c>
      <c r="E182" s="5">
        <v>98</v>
      </c>
      <c r="F182" s="5">
        <v>2945</v>
      </c>
      <c r="G182" s="4">
        <v>14.5</v>
      </c>
      <c r="H182" s="5">
        <v>75</v>
      </c>
      <c r="I182" s="6" t="s">
        <v>33</v>
      </c>
      <c r="J182" s="6" t="s">
        <v>150</v>
      </c>
      <c r="L182">
        <v>33</v>
      </c>
      <c r="M182">
        <v>4</v>
      </c>
      <c r="N182">
        <v>91</v>
      </c>
      <c r="O182">
        <v>53</v>
      </c>
      <c r="P182">
        <v>1795</v>
      </c>
      <c r="Q182">
        <v>17.5</v>
      </c>
      <c r="R182">
        <v>75</v>
      </c>
      <c r="S182" t="s">
        <v>27</v>
      </c>
      <c r="T182" t="s">
        <v>151</v>
      </c>
    </row>
    <row r="183" spans="2:20" x14ac:dyDescent="0.3">
      <c r="B183" s="5">
        <v>25</v>
      </c>
      <c r="C183" s="5">
        <v>4</v>
      </c>
      <c r="D183" s="5">
        <v>121</v>
      </c>
      <c r="E183" s="5">
        <v>115</v>
      </c>
      <c r="F183" s="5">
        <v>2671</v>
      </c>
      <c r="G183" s="4">
        <v>13.5</v>
      </c>
      <c r="H183" s="5">
        <v>75</v>
      </c>
      <c r="I183" s="6" t="s">
        <v>33</v>
      </c>
      <c r="J183" s="6" t="s">
        <v>119</v>
      </c>
      <c r="L183">
        <v>28</v>
      </c>
      <c r="M183">
        <v>4</v>
      </c>
      <c r="N183">
        <v>107</v>
      </c>
      <c r="O183">
        <v>86</v>
      </c>
      <c r="P183">
        <v>2464</v>
      </c>
      <c r="Q183">
        <v>15.5</v>
      </c>
      <c r="R183">
        <v>76</v>
      </c>
      <c r="S183" t="s">
        <v>33</v>
      </c>
      <c r="T183" t="s">
        <v>152</v>
      </c>
    </row>
    <row r="184" spans="2:20" x14ac:dyDescent="0.3">
      <c r="B184" s="5">
        <v>33</v>
      </c>
      <c r="C184" s="5">
        <v>4</v>
      </c>
      <c r="D184" s="5">
        <v>91</v>
      </c>
      <c r="E184" s="5">
        <v>53</v>
      </c>
      <c r="F184" s="5">
        <v>1795</v>
      </c>
      <c r="G184" s="4">
        <v>17.5</v>
      </c>
      <c r="H184" s="5">
        <v>75</v>
      </c>
      <c r="I184" s="6" t="s">
        <v>27</v>
      </c>
      <c r="J184" s="6" t="s">
        <v>151</v>
      </c>
      <c r="L184">
        <v>25</v>
      </c>
      <c r="M184">
        <v>4</v>
      </c>
      <c r="N184">
        <v>116</v>
      </c>
      <c r="O184">
        <v>81</v>
      </c>
      <c r="P184">
        <v>2220</v>
      </c>
      <c r="Q184">
        <v>16.899999999999999</v>
      </c>
      <c r="R184">
        <v>76</v>
      </c>
      <c r="S184" t="s">
        <v>33</v>
      </c>
      <c r="T184" t="s">
        <v>59</v>
      </c>
    </row>
    <row r="185" spans="2:20" x14ac:dyDescent="0.3">
      <c r="B185" s="5">
        <v>28</v>
      </c>
      <c r="C185" s="5">
        <v>4</v>
      </c>
      <c r="D185" s="5">
        <v>107</v>
      </c>
      <c r="E185" s="5">
        <v>86</v>
      </c>
      <c r="F185" s="5">
        <v>2464</v>
      </c>
      <c r="G185" s="4">
        <v>15.5</v>
      </c>
      <c r="H185" s="5">
        <v>76</v>
      </c>
      <c r="I185" s="6" t="s">
        <v>33</v>
      </c>
      <c r="J185" s="6" t="s">
        <v>152</v>
      </c>
      <c r="L185">
        <v>25</v>
      </c>
      <c r="M185">
        <v>4</v>
      </c>
      <c r="N185">
        <v>140</v>
      </c>
      <c r="O185">
        <v>92</v>
      </c>
      <c r="P185">
        <v>2572</v>
      </c>
      <c r="Q185">
        <v>14.9</v>
      </c>
      <c r="R185">
        <v>76</v>
      </c>
      <c r="S185" t="s">
        <v>12</v>
      </c>
      <c r="T185" t="s">
        <v>153</v>
      </c>
    </row>
    <row r="186" spans="2:20" x14ac:dyDescent="0.3">
      <c r="B186" s="5">
        <v>25</v>
      </c>
      <c r="C186" s="5">
        <v>4</v>
      </c>
      <c r="D186" s="5">
        <v>116</v>
      </c>
      <c r="E186" s="5">
        <v>81</v>
      </c>
      <c r="F186" s="5">
        <v>2220</v>
      </c>
      <c r="G186" s="4">
        <v>16.899999999999999</v>
      </c>
      <c r="H186" s="5">
        <v>76</v>
      </c>
      <c r="I186" s="6" t="s">
        <v>33</v>
      </c>
      <c r="J186" s="6" t="s">
        <v>59</v>
      </c>
      <c r="L186">
        <v>26</v>
      </c>
      <c r="M186">
        <v>4</v>
      </c>
      <c r="N186">
        <v>98</v>
      </c>
      <c r="O186">
        <v>79</v>
      </c>
      <c r="P186">
        <v>2255</v>
      </c>
      <c r="Q186">
        <v>17.7</v>
      </c>
      <c r="R186">
        <v>76</v>
      </c>
      <c r="S186" t="s">
        <v>12</v>
      </c>
      <c r="T186" t="s">
        <v>131</v>
      </c>
    </row>
    <row r="187" spans="2:20" x14ac:dyDescent="0.3">
      <c r="B187" s="5">
        <v>25</v>
      </c>
      <c r="C187" s="5">
        <v>4</v>
      </c>
      <c r="D187" s="5">
        <v>140</v>
      </c>
      <c r="E187" s="5">
        <v>92</v>
      </c>
      <c r="F187" s="5">
        <v>2572</v>
      </c>
      <c r="G187" s="4">
        <v>14.9</v>
      </c>
      <c r="H187" s="5">
        <v>76</v>
      </c>
      <c r="I187" s="6" t="s">
        <v>12</v>
      </c>
      <c r="J187" s="6" t="s">
        <v>153</v>
      </c>
      <c r="L187">
        <v>27</v>
      </c>
      <c r="M187">
        <v>4</v>
      </c>
      <c r="N187">
        <v>101</v>
      </c>
      <c r="O187">
        <v>83</v>
      </c>
      <c r="P187">
        <v>2202</v>
      </c>
      <c r="Q187">
        <v>15.3</v>
      </c>
      <c r="R187">
        <v>76</v>
      </c>
      <c r="S187" t="s">
        <v>33</v>
      </c>
      <c r="T187" t="s">
        <v>154</v>
      </c>
    </row>
    <row r="188" spans="2:20" x14ac:dyDescent="0.3">
      <c r="B188" s="5">
        <v>26</v>
      </c>
      <c r="C188" s="5">
        <v>4</v>
      </c>
      <c r="D188" s="5">
        <v>98</v>
      </c>
      <c r="E188" s="5">
        <v>79</v>
      </c>
      <c r="F188" s="5">
        <v>2255</v>
      </c>
      <c r="G188" s="4">
        <v>17.7</v>
      </c>
      <c r="H188" s="5">
        <v>76</v>
      </c>
      <c r="I188" s="6" t="s">
        <v>12</v>
      </c>
      <c r="J188" s="6" t="s">
        <v>131</v>
      </c>
      <c r="L188">
        <v>17.5</v>
      </c>
      <c r="M188">
        <v>8</v>
      </c>
      <c r="N188">
        <v>305</v>
      </c>
      <c r="O188">
        <v>140</v>
      </c>
      <c r="P188">
        <v>4215</v>
      </c>
      <c r="Q188">
        <v>13</v>
      </c>
      <c r="R188">
        <v>76</v>
      </c>
      <c r="S188" t="s">
        <v>12</v>
      </c>
      <c r="T188" t="s">
        <v>124</v>
      </c>
    </row>
    <row r="189" spans="2:20" x14ac:dyDescent="0.3">
      <c r="B189" s="5">
        <v>27</v>
      </c>
      <c r="C189" s="5">
        <v>4</v>
      </c>
      <c r="D189" s="5">
        <v>101</v>
      </c>
      <c r="E189" s="5">
        <v>83</v>
      </c>
      <c r="F189" s="5">
        <v>2202</v>
      </c>
      <c r="G189" s="4">
        <v>15.3</v>
      </c>
      <c r="H189" s="5">
        <v>76</v>
      </c>
      <c r="I189" s="6" t="s">
        <v>33</v>
      </c>
      <c r="J189" s="6" t="s">
        <v>154</v>
      </c>
      <c r="L189">
        <v>16</v>
      </c>
      <c r="M189">
        <v>8</v>
      </c>
      <c r="N189">
        <v>318</v>
      </c>
      <c r="O189">
        <v>150</v>
      </c>
      <c r="P189">
        <v>4190</v>
      </c>
      <c r="Q189">
        <v>13</v>
      </c>
      <c r="R189">
        <v>76</v>
      </c>
      <c r="S189" t="s">
        <v>12</v>
      </c>
      <c r="T189" t="s">
        <v>155</v>
      </c>
    </row>
    <row r="190" spans="2:20" x14ac:dyDescent="0.3">
      <c r="B190" s="5">
        <v>17.5</v>
      </c>
      <c r="C190" s="5">
        <v>8</v>
      </c>
      <c r="D190" s="5">
        <v>305</v>
      </c>
      <c r="E190" s="5">
        <v>140</v>
      </c>
      <c r="F190" s="5">
        <v>4215</v>
      </c>
      <c r="G190" s="4">
        <v>13</v>
      </c>
      <c r="H190" s="5">
        <v>76</v>
      </c>
      <c r="I190" s="6" t="s">
        <v>12</v>
      </c>
      <c r="J190" s="6" t="s">
        <v>124</v>
      </c>
      <c r="L190">
        <v>15.5</v>
      </c>
      <c r="M190">
        <v>8</v>
      </c>
      <c r="N190">
        <v>304</v>
      </c>
      <c r="O190">
        <v>120</v>
      </c>
      <c r="P190">
        <v>3962</v>
      </c>
      <c r="Q190">
        <v>13.9</v>
      </c>
      <c r="R190">
        <v>76</v>
      </c>
      <c r="S190" t="s">
        <v>12</v>
      </c>
      <c r="T190" t="s">
        <v>49</v>
      </c>
    </row>
    <row r="191" spans="2:20" x14ac:dyDescent="0.3">
      <c r="B191" s="5">
        <v>16</v>
      </c>
      <c r="C191" s="5">
        <v>8</v>
      </c>
      <c r="D191" s="5">
        <v>318</v>
      </c>
      <c r="E191" s="5">
        <v>150</v>
      </c>
      <c r="F191" s="5">
        <v>4190</v>
      </c>
      <c r="G191" s="4">
        <v>13</v>
      </c>
      <c r="H191" s="5">
        <v>76</v>
      </c>
      <c r="I191" s="6" t="s">
        <v>12</v>
      </c>
      <c r="J191" s="6" t="s">
        <v>155</v>
      </c>
      <c r="L191">
        <v>14.5</v>
      </c>
      <c r="M191">
        <v>8</v>
      </c>
      <c r="N191">
        <v>351</v>
      </c>
      <c r="O191">
        <v>152</v>
      </c>
      <c r="P191">
        <v>4215</v>
      </c>
      <c r="Q191">
        <v>12.8</v>
      </c>
      <c r="R191">
        <v>76</v>
      </c>
      <c r="S191" t="s">
        <v>12</v>
      </c>
      <c r="T191" t="s">
        <v>92</v>
      </c>
    </row>
    <row r="192" spans="2:20" x14ac:dyDescent="0.3">
      <c r="B192" s="5">
        <v>15.5</v>
      </c>
      <c r="C192" s="5">
        <v>8</v>
      </c>
      <c r="D192" s="5">
        <v>304</v>
      </c>
      <c r="E192" s="5">
        <v>120</v>
      </c>
      <c r="F192" s="5">
        <v>3962</v>
      </c>
      <c r="G192" s="4">
        <v>13.9</v>
      </c>
      <c r="H192" s="5">
        <v>76</v>
      </c>
      <c r="I192" s="6" t="s">
        <v>12</v>
      </c>
      <c r="J192" s="6" t="s">
        <v>49</v>
      </c>
      <c r="L192">
        <v>22</v>
      </c>
      <c r="M192">
        <v>6</v>
      </c>
      <c r="N192">
        <v>225</v>
      </c>
      <c r="O192">
        <v>100</v>
      </c>
      <c r="P192">
        <v>3233</v>
      </c>
      <c r="Q192">
        <v>15.4</v>
      </c>
      <c r="R192">
        <v>76</v>
      </c>
      <c r="S192" t="s">
        <v>12</v>
      </c>
      <c r="T192" t="s">
        <v>101</v>
      </c>
    </row>
    <row r="193" spans="2:20" x14ac:dyDescent="0.3">
      <c r="B193" s="5">
        <v>14.5</v>
      </c>
      <c r="C193" s="5">
        <v>8</v>
      </c>
      <c r="D193" s="5">
        <v>351</v>
      </c>
      <c r="E193" s="5">
        <v>152</v>
      </c>
      <c r="F193" s="5">
        <v>4215</v>
      </c>
      <c r="G193" s="4">
        <v>12.8</v>
      </c>
      <c r="H193" s="5">
        <v>76</v>
      </c>
      <c r="I193" s="6" t="s">
        <v>12</v>
      </c>
      <c r="J193" s="6" t="s">
        <v>92</v>
      </c>
      <c r="L193">
        <v>22</v>
      </c>
      <c r="M193">
        <v>6</v>
      </c>
      <c r="N193">
        <v>250</v>
      </c>
      <c r="O193">
        <v>105</v>
      </c>
      <c r="P193">
        <v>3353</v>
      </c>
      <c r="Q193">
        <v>14.5</v>
      </c>
      <c r="R193">
        <v>76</v>
      </c>
      <c r="S193" t="s">
        <v>12</v>
      </c>
      <c r="T193" t="s">
        <v>122</v>
      </c>
    </row>
    <row r="194" spans="2:20" x14ac:dyDescent="0.3">
      <c r="B194" s="5">
        <v>22</v>
      </c>
      <c r="C194" s="5">
        <v>6</v>
      </c>
      <c r="D194" s="5">
        <v>225</v>
      </c>
      <c r="E194" s="5">
        <v>100</v>
      </c>
      <c r="F194" s="5">
        <v>3233</v>
      </c>
      <c r="G194" s="4">
        <v>15.4</v>
      </c>
      <c r="H194" s="5">
        <v>76</v>
      </c>
      <c r="I194" s="6" t="s">
        <v>12</v>
      </c>
      <c r="J194" s="6" t="s">
        <v>101</v>
      </c>
      <c r="L194">
        <v>24</v>
      </c>
      <c r="M194">
        <v>6</v>
      </c>
      <c r="N194">
        <v>200</v>
      </c>
      <c r="O194">
        <v>81</v>
      </c>
      <c r="P194">
        <v>3012</v>
      </c>
      <c r="Q194">
        <v>17.600000000000001</v>
      </c>
      <c r="R194">
        <v>76</v>
      </c>
      <c r="S194" t="s">
        <v>12</v>
      </c>
      <c r="T194" t="s">
        <v>31</v>
      </c>
    </row>
    <row r="195" spans="2:20" x14ac:dyDescent="0.3">
      <c r="B195" s="5">
        <v>22</v>
      </c>
      <c r="C195" s="5">
        <v>6</v>
      </c>
      <c r="D195" s="5">
        <v>250</v>
      </c>
      <c r="E195" s="5">
        <v>105</v>
      </c>
      <c r="F195" s="5">
        <v>3353</v>
      </c>
      <c r="G195" s="4">
        <v>14.5</v>
      </c>
      <c r="H195" s="5">
        <v>76</v>
      </c>
      <c r="I195" s="6" t="s">
        <v>12</v>
      </c>
      <c r="J195" s="6" t="s">
        <v>122</v>
      </c>
      <c r="L195">
        <v>22.5</v>
      </c>
      <c r="M195">
        <v>6</v>
      </c>
      <c r="N195">
        <v>232</v>
      </c>
      <c r="O195">
        <v>90</v>
      </c>
      <c r="P195">
        <v>3085</v>
      </c>
      <c r="Q195">
        <v>17.600000000000001</v>
      </c>
      <c r="R195">
        <v>76</v>
      </c>
      <c r="S195" t="s">
        <v>12</v>
      </c>
      <c r="T195" t="s">
        <v>30</v>
      </c>
    </row>
    <row r="196" spans="2:20" x14ac:dyDescent="0.3">
      <c r="B196" s="5">
        <v>24</v>
      </c>
      <c r="C196" s="5">
        <v>6</v>
      </c>
      <c r="D196" s="5">
        <v>200</v>
      </c>
      <c r="E196" s="5">
        <v>81</v>
      </c>
      <c r="F196" s="5">
        <v>3012</v>
      </c>
      <c r="G196" s="4">
        <v>17.600000000000001</v>
      </c>
      <c r="H196" s="5">
        <v>76</v>
      </c>
      <c r="I196" s="6" t="s">
        <v>12</v>
      </c>
      <c r="J196" s="6" t="s">
        <v>31</v>
      </c>
      <c r="L196">
        <v>29</v>
      </c>
      <c r="M196">
        <v>4</v>
      </c>
      <c r="N196">
        <v>85</v>
      </c>
      <c r="O196">
        <v>52</v>
      </c>
      <c r="P196">
        <v>2035</v>
      </c>
      <c r="Q196">
        <v>22.2</v>
      </c>
      <c r="R196">
        <v>76</v>
      </c>
      <c r="S196" t="s">
        <v>12</v>
      </c>
      <c r="T196" t="s">
        <v>156</v>
      </c>
    </row>
    <row r="197" spans="2:20" x14ac:dyDescent="0.3">
      <c r="B197" s="5">
        <v>22.5</v>
      </c>
      <c r="C197" s="5">
        <v>6</v>
      </c>
      <c r="D197" s="5">
        <v>232</v>
      </c>
      <c r="E197" s="5">
        <v>90</v>
      </c>
      <c r="F197" s="5">
        <v>3085</v>
      </c>
      <c r="G197" s="4">
        <v>17.600000000000001</v>
      </c>
      <c r="H197" s="5">
        <v>76</v>
      </c>
      <c r="I197" s="6" t="s">
        <v>12</v>
      </c>
      <c r="J197" s="6" t="s">
        <v>30</v>
      </c>
      <c r="L197">
        <v>24.5</v>
      </c>
      <c r="M197">
        <v>4</v>
      </c>
      <c r="N197">
        <v>98</v>
      </c>
      <c r="O197">
        <v>60</v>
      </c>
      <c r="P197">
        <v>2164</v>
      </c>
      <c r="Q197">
        <v>22.1</v>
      </c>
      <c r="R197">
        <v>76</v>
      </c>
      <c r="S197" t="s">
        <v>12</v>
      </c>
      <c r="T197" t="s">
        <v>157</v>
      </c>
    </row>
    <row r="198" spans="2:20" x14ac:dyDescent="0.3">
      <c r="B198" s="5">
        <v>29</v>
      </c>
      <c r="C198" s="5">
        <v>4</v>
      </c>
      <c r="D198" s="5">
        <v>85</v>
      </c>
      <c r="E198" s="5">
        <v>52</v>
      </c>
      <c r="F198" s="5">
        <v>2035</v>
      </c>
      <c r="G198" s="4">
        <v>22.2</v>
      </c>
      <c r="H198" s="5">
        <v>76</v>
      </c>
      <c r="I198" s="6" t="s">
        <v>12</v>
      </c>
      <c r="J198" s="6" t="s">
        <v>156</v>
      </c>
      <c r="L198">
        <v>29</v>
      </c>
      <c r="M198">
        <v>4</v>
      </c>
      <c r="N198">
        <v>90</v>
      </c>
      <c r="O198">
        <v>70</v>
      </c>
      <c r="P198">
        <v>1937</v>
      </c>
      <c r="Q198">
        <v>14.2</v>
      </c>
      <c r="R198">
        <v>76</v>
      </c>
      <c r="S198" t="s">
        <v>33</v>
      </c>
      <c r="T198" t="s">
        <v>158</v>
      </c>
    </row>
    <row r="199" spans="2:20" x14ac:dyDescent="0.3">
      <c r="B199" s="5">
        <v>24.5</v>
      </c>
      <c r="C199" s="5">
        <v>4</v>
      </c>
      <c r="D199" s="5">
        <v>98</v>
      </c>
      <c r="E199" s="5">
        <v>60</v>
      </c>
      <c r="F199" s="5">
        <v>2164</v>
      </c>
      <c r="G199" s="4">
        <v>22.1</v>
      </c>
      <c r="H199" s="5">
        <v>76</v>
      </c>
      <c r="I199" s="6" t="s">
        <v>12</v>
      </c>
      <c r="J199" s="6" t="s">
        <v>157</v>
      </c>
      <c r="L199">
        <v>33</v>
      </c>
      <c r="M199">
        <v>4</v>
      </c>
      <c r="N199">
        <v>91</v>
      </c>
      <c r="O199">
        <v>53</v>
      </c>
      <c r="P199">
        <v>1795</v>
      </c>
      <c r="Q199">
        <v>17.399999999999999</v>
      </c>
      <c r="R199">
        <v>76</v>
      </c>
      <c r="S199" t="s">
        <v>27</v>
      </c>
      <c r="T199" t="s">
        <v>133</v>
      </c>
    </row>
    <row r="200" spans="2:20" x14ac:dyDescent="0.3">
      <c r="B200" s="5">
        <v>29</v>
      </c>
      <c r="C200" s="5">
        <v>4</v>
      </c>
      <c r="D200" s="5">
        <v>90</v>
      </c>
      <c r="E200" s="5">
        <v>70</v>
      </c>
      <c r="F200" s="5">
        <v>1937</v>
      </c>
      <c r="G200" s="4">
        <v>14.2</v>
      </c>
      <c r="H200" s="5">
        <v>76</v>
      </c>
      <c r="I200" s="6" t="s">
        <v>33</v>
      </c>
      <c r="J200" s="6" t="s">
        <v>158</v>
      </c>
      <c r="L200">
        <v>20</v>
      </c>
      <c r="M200">
        <v>6</v>
      </c>
      <c r="N200">
        <v>225</v>
      </c>
      <c r="O200">
        <v>100</v>
      </c>
      <c r="P200">
        <v>3651</v>
      </c>
      <c r="Q200">
        <v>17.7</v>
      </c>
      <c r="R200">
        <v>76</v>
      </c>
      <c r="S200" t="s">
        <v>12</v>
      </c>
      <c r="T200" t="s">
        <v>159</v>
      </c>
    </row>
    <row r="201" spans="2:20" x14ac:dyDescent="0.3">
      <c r="B201" s="5">
        <v>33</v>
      </c>
      <c r="C201" s="5">
        <v>4</v>
      </c>
      <c r="D201" s="5">
        <v>91</v>
      </c>
      <c r="E201" s="5">
        <v>53</v>
      </c>
      <c r="F201" s="5">
        <v>1795</v>
      </c>
      <c r="G201" s="4">
        <v>17.399999999999999</v>
      </c>
      <c r="H201" s="5">
        <v>76</v>
      </c>
      <c r="I201" s="6" t="s">
        <v>27</v>
      </c>
      <c r="J201" s="6" t="s">
        <v>133</v>
      </c>
      <c r="L201">
        <v>18</v>
      </c>
      <c r="M201">
        <v>6</v>
      </c>
      <c r="N201">
        <v>250</v>
      </c>
      <c r="O201">
        <v>78</v>
      </c>
      <c r="P201">
        <v>3574</v>
      </c>
      <c r="Q201">
        <v>21</v>
      </c>
      <c r="R201">
        <v>76</v>
      </c>
      <c r="S201" t="s">
        <v>12</v>
      </c>
      <c r="T201" t="s">
        <v>160</v>
      </c>
    </row>
    <row r="202" spans="2:20" x14ac:dyDescent="0.3">
      <c r="B202" s="5">
        <v>20</v>
      </c>
      <c r="C202" s="5">
        <v>6</v>
      </c>
      <c r="D202" s="5">
        <v>225</v>
      </c>
      <c r="E202" s="5">
        <v>100</v>
      </c>
      <c r="F202" s="5">
        <v>3651</v>
      </c>
      <c r="G202" s="4">
        <v>17.7</v>
      </c>
      <c r="H202" s="5">
        <v>76</v>
      </c>
      <c r="I202" s="6" t="s">
        <v>12</v>
      </c>
      <c r="J202" s="6" t="s">
        <v>159</v>
      </c>
      <c r="L202">
        <v>18.5</v>
      </c>
      <c r="M202">
        <v>6</v>
      </c>
      <c r="N202">
        <v>250</v>
      </c>
      <c r="O202">
        <v>110</v>
      </c>
      <c r="P202">
        <v>3645</v>
      </c>
      <c r="Q202">
        <v>16.2</v>
      </c>
      <c r="R202">
        <v>76</v>
      </c>
      <c r="S202" t="s">
        <v>12</v>
      </c>
      <c r="T202" t="s">
        <v>161</v>
      </c>
    </row>
    <row r="203" spans="2:20" x14ac:dyDescent="0.3">
      <c r="B203" s="5">
        <v>18</v>
      </c>
      <c r="C203" s="5">
        <v>6</v>
      </c>
      <c r="D203" s="5">
        <v>250</v>
      </c>
      <c r="E203" s="5">
        <v>78</v>
      </c>
      <c r="F203" s="5">
        <v>3574</v>
      </c>
      <c r="G203" s="4">
        <v>21</v>
      </c>
      <c r="H203" s="5">
        <v>76</v>
      </c>
      <c r="I203" s="6" t="s">
        <v>12</v>
      </c>
      <c r="J203" s="6" t="s">
        <v>160</v>
      </c>
      <c r="L203">
        <v>17.5</v>
      </c>
      <c r="M203">
        <v>6</v>
      </c>
      <c r="N203">
        <v>258</v>
      </c>
      <c r="O203">
        <v>95</v>
      </c>
      <c r="P203">
        <v>3193</v>
      </c>
      <c r="Q203">
        <v>17.8</v>
      </c>
      <c r="R203">
        <v>76</v>
      </c>
      <c r="S203" t="s">
        <v>12</v>
      </c>
      <c r="T203" t="s">
        <v>162</v>
      </c>
    </row>
    <row r="204" spans="2:20" x14ac:dyDescent="0.3">
      <c r="B204" s="5">
        <v>18.5</v>
      </c>
      <c r="C204" s="5">
        <v>6</v>
      </c>
      <c r="D204" s="5">
        <v>250</v>
      </c>
      <c r="E204" s="5">
        <v>110</v>
      </c>
      <c r="F204" s="5">
        <v>3645</v>
      </c>
      <c r="G204" s="4">
        <v>16.2</v>
      </c>
      <c r="H204" s="5">
        <v>76</v>
      </c>
      <c r="I204" s="6" t="s">
        <v>12</v>
      </c>
      <c r="J204" s="6" t="s">
        <v>161</v>
      </c>
      <c r="L204">
        <v>29.5</v>
      </c>
      <c r="M204">
        <v>4</v>
      </c>
      <c r="N204">
        <v>97</v>
      </c>
      <c r="O204">
        <v>71</v>
      </c>
      <c r="P204">
        <v>1825</v>
      </c>
      <c r="Q204">
        <v>12.2</v>
      </c>
      <c r="R204">
        <v>76</v>
      </c>
      <c r="S204" t="s">
        <v>33</v>
      </c>
      <c r="T204" t="s">
        <v>148</v>
      </c>
    </row>
    <row r="205" spans="2:20" x14ac:dyDescent="0.3">
      <c r="B205" s="5">
        <v>17.5</v>
      </c>
      <c r="C205" s="5">
        <v>6</v>
      </c>
      <c r="D205" s="5">
        <v>258</v>
      </c>
      <c r="E205" s="5">
        <v>95</v>
      </c>
      <c r="F205" s="5">
        <v>3193</v>
      </c>
      <c r="G205" s="4">
        <v>17.8</v>
      </c>
      <c r="H205" s="5">
        <v>76</v>
      </c>
      <c r="I205" s="6" t="s">
        <v>12</v>
      </c>
      <c r="J205" s="6" t="s">
        <v>162</v>
      </c>
      <c r="L205">
        <v>32</v>
      </c>
      <c r="M205">
        <v>4</v>
      </c>
      <c r="N205">
        <v>85</v>
      </c>
      <c r="O205">
        <v>70</v>
      </c>
      <c r="P205">
        <v>1990</v>
      </c>
      <c r="Q205">
        <v>17</v>
      </c>
      <c r="R205">
        <v>76</v>
      </c>
      <c r="S205" t="s">
        <v>27</v>
      </c>
      <c r="T205" t="s">
        <v>163</v>
      </c>
    </row>
    <row r="206" spans="2:20" x14ac:dyDescent="0.3">
      <c r="B206" s="5">
        <v>29.5</v>
      </c>
      <c r="C206" s="5">
        <v>4</v>
      </c>
      <c r="D206" s="5">
        <v>97</v>
      </c>
      <c r="E206" s="5">
        <v>71</v>
      </c>
      <c r="F206" s="5">
        <v>1825</v>
      </c>
      <c r="G206" s="4">
        <v>12.2</v>
      </c>
      <c r="H206" s="5">
        <v>76</v>
      </c>
      <c r="I206" s="6" t="s">
        <v>33</v>
      </c>
      <c r="J206" s="6" t="s">
        <v>148</v>
      </c>
      <c r="L206">
        <v>28</v>
      </c>
      <c r="M206">
        <v>4</v>
      </c>
      <c r="N206">
        <v>97</v>
      </c>
      <c r="O206">
        <v>75</v>
      </c>
      <c r="P206">
        <v>2155</v>
      </c>
      <c r="Q206">
        <v>16.399999999999999</v>
      </c>
      <c r="R206">
        <v>76</v>
      </c>
      <c r="S206" t="s">
        <v>27</v>
      </c>
      <c r="T206" t="s">
        <v>146</v>
      </c>
    </row>
    <row r="207" spans="2:20" x14ac:dyDescent="0.3">
      <c r="B207" s="5">
        <v>32</v>
      </c>
      <c r="C207" s="5">
        <v>4</v>
      </c>
      <c r="D207" s="5">
        <v>85</v>
      </c>
      <c r="E207" s="5">
        <v>70</v>
      </c>
      <c r="F207" s="5">
        <v>1990</v>
      </c>
      <c r="G207" s="4">
        <v>17</v>
      </c>
      <c r="H207" s="5">
        <v>76</v>
      </c>
      <c r="I207" s="6" t="s">
        <v>27</v>
      </c>
      <c r="J207" s="6" t="s">
        <v>163</v>
      </c>
      <c r="L207">
        <v>26.5</v>
      </c>
      <c r="M207">
        <v>4</v>
      </c>
      <c r="N207">
        <v>140</v>
      </c>
      <c r="O207">
        <v>72</v>
      </c>
      <c r="P207">
        <v>2565</v>
      </c>
      <c r="Q207">
        <v>13.6</v>
      </c>
      <c r="R207">
        <v>76</v>
      </c>
      <c r="S207" t="s">
        <v>12</v>
      </c>
      <c r="T207" t="s">
        <v>46</v>
      </c>
    </row>
    <row r="208" spans="2:20" x14ac:dyDescent="0.3">
      <c r="B208" s="5">
        <v>28</v>
      </c>
      <c r="C208" s="5">
        <v>4</v>
      </c>
      <c r="D208" s="5">
        <v>97</v>
      </c>
      <c r="E208" s="5">
        <v>75</v>
      </c>
      <c r="F208" s="5">
        <v>2155</v>
      </c>
      <c r="G208" s="4">
        <v>16.399999999999999</v>
      </c>
      <c r="H208" s="5">
        <v>76</v>
      </c>
      <c r="I208" s="6" t="s">
        <v>27</v>
      </c>
      <c r="J208" s="6" t="s">
        <v>146</v>
      </c>
      <c r="L208">
        <v>20</v>
      </c>
      <c r="M208">
        <v>4</v>
      </c>
      <c r="N208">
        <v>130</v>
      </c>
      <c r="O208">
        <v>102</v>
      </c>
      <c r="P208">
        <v>3150</v>
      </c>
      <c r="Q208">
        <v>15.7</v>
      </c>
      <c r="R208">
        <v>76</v>
      </c>
      <c r="S208" t="s">
        <v>33</v>
      </c>
      <c r="T208" t="s">
        <v>164</v>
      </c>
    </row>
    <row r="209" spans="2:20" x14ac:dyDescent="0.3">
      <c r="B209" s="5">
        <v>26.5</v>
      </c>
      <c r="C209" s="5">
        <v>4</v>
      </c>
      <c r="D209" s="5">
        <v>140</v>
      </c>
      <c r="E209" s="5">
        <v>72</v>
      </c>
      <c r="F209" s="5">
        <v>2565</v>
      </c>
      <c r="G209" s="4">
        <v>13.6</v>
      </c>
      <c r="H209" s="5">
        <v>76</v>
      </c>
      <c r="I209" s="6" t="s">
        <v>12</v>
      </c>
      <c r="J209" s="6" t="s">
        <v>46</v>
      </c>
      <c r="L209">
        <v>13</v>
      </c>
      <c r="M209">
        <v>8</v>
      </c>
      <c r="N209">
        <v>318</v>
      </c>
      <c r="O209">
        <v>150</v>
      </c>
      <c r="P209">
        <v>3940</v>
      </c>
      <c r="Q209">
        <v>13.2</v>
      </c>
      <c r="R209">
        <v>76</v>
      </c>
      <c r="S209" t="s">
        <v>12</v>
      </c>
      <c r="T209" t="s">
        <v>165</v>
      </c>
    </row>
    <row r="210" spans="2:20" x14ac:dyDescent="0.3">
      <c r="B210" s="5">
        <v>20</v>
      </c>
      <c r="C210" s="5">
        <v>4</v>
      </c>
      <c r="D210" s="5">
        <v>130</v>
      </c>
      <c r="E210" s="5">
        <v>102</v>
      </c>
      <c r="F210" s="5">
        <v>3150</v>
      </c>
      <c r="G210" s="4">
        <v>15.7</v>
      </c>
      <c r="H210" s="5">
        <v>76</v>
      </c>
      <c r="I210" s="6" t="s">
        <v>33</v>
      </c>
      <c r="J210" s="6" t="s">
        <v>164</v>
      </c>
      <c r="L210">
        <v>19</v>
      </c>
      <c r="M210">
        <v>4</v>
      </c>
      <c r="N210">
        <v>120</v>
      </c>
      <c r="O210">
        <v>88</v>
      </c>
      <c r="P210">
        <v>3270</v>
      </c>
      <c r="Q210">
        <v>21.9</v>
      </c>
      <c r="R210">
        <v>76</v>
      </c>
      <c r="S210" t="s">
        <v>33</v>
      </c>
      <c r="T210" t="s">
        <v>35</v>
      </c>
    </row>
    <row r="211" spans="2:20" x14ac:dyDescent="0.3">
      <c r="B211" s="5">
        <v>13</v>
      </c>
      <c r="C211" s="5">
        <v>8</v>
      </c>
      <c r="D211" s="5">
        <v>318</v>
      </c>
      <c r="E211" s="5">
        <v>150</v>
      </c>
      <c r="F211" s="5">
        <v>3940</v>
      </c>
      <c r="G211" s="4">
        <v>13.2</v>
      </c>
      <c r="H211" s="5">
        <v>76</v>
      </c>
      <c r="I211" s="6" t="s">
        <v>12</v>
      </c>
      <c r="J211" s="6" t="s">
        <v>165</v>
      </c>
      <c r="L211">
        <v>19</v>
      </c>
      <c r="M211">
        <v>6</v>
      </c>
      <c r="N211">
        <v>156</v>
      </c>
      <c r="O211">
        <v>108</v>
      </c>
      <c r="P211">
        <v>2930</v>
      </c>
      <c r="Q211">
        <v>15.5</v>
      </c>
      <c r="R211">
        <v>76</v>
      </c>
      <c r="S211" t="s">
        <v>27</v>
      </c>
      <c r="T211" t="s">
        <v>120</v>
      </c>
    </row>
    <row r="212" spans="2:20" x14ac:dyDescent="0.3">
      <c r="B212" s="5">
        <v>19</v>
      </c>
      <c r="C212" s="5">
        <v>4</v>
      </c>
      <c r="D212" s="5">
        <v>120</v>
      </c>
      <c r="E212" s="5">
        <v>88</v>
      </c>
      <c r="F212" s="5">
        <v>3270</v>
      </c>
      <c r="G212" s="4">
        <v>21.9</v>
      </c>
      <c r="H212" s="5">
        <v>76</v>
      </c>
      <c r="I212" s="6" t="s">
        <v>33</v>
      </c>
      <c r="J212" s="6" t="s">
        <v>35</v>
      </c>
      <c r="L212">
        <v>16.5</v>
      </c>
      <c r="M212">
        <v>6</v>
      </c>
      <c r="N212">
        <v>168</v>
      </c>
      <c r="O212">
        <v>120</v>
      </c>
      <c r="P212">
        <v>3820</v>
      </c>
      <c r="Q212">
        <v>16.7</v>
      </c>
      <c r="R212">
        <v>76</v>
      </c>
      <c r="S212" t="s">
        <v>33</v>
      </c>
      <c r="T212" t="s">
        <v>166</v>
      </c>
    </row>
    <row r="213" spans="2:20" x14ac:dyDescent="0.3">
      <c r="B213" s="5">
        <v>19</v>
      </c>
      <c r="C213" s="5">
        <v>6</v>
      </c>
      <c r="D213" s="5">
        <v>156</v>
      </c>
      <c r="E213" s="5">
        <v>108</v>
      </c>
      <c r="F213" s="5">
        <v>2930</v>
      </c>
      <c r="G213" s="4">
        <v>15.5</v>
      </c>
      <c r="H213" s="5">
        <v>76</v>
      </c>
      <c r="I213" s="6" t="s">
        <v>27</v>
      </c>
      <c r="J213" s="6" t="s">
        <v>120</v>
      </c>
      <c r="L213">
        <v>16.5</v>
      </c>
      <c r="M213">
        <v>8</v>
      </c>
      <c r="N213">
        <v>350</v>
      </c>
      <c r="O213">
        <v>180</v>
      </c>
      <c r="P213">
        <v>4380</v>
      </c>
      <c r="Q213">
        <v>12.1</v>
      </c>
      <c r="R213">
        <v>76</v>
      </c>
      <c r="S213" t="s">
        <v>12</v>
      </c>
      <c r="T213" t="s">
        <v>167</v>
      </c>
    </row>
    <row r="214" spans="2:20" x14ac:dyDescent="0.3">
      <c r="B214" s="5">
        <v>16.5</v>
      </c>
      <c r="C214" s="5">
        <v>6</v>
      </c>
      <c r="D214" s="5">
        <v>168</v>
      </c>
      <c r="E214" s="5">
        <v>120</v>
      </c>
      <c r="F214" s="5">
        <v>3820</v>
      </c>
      <c r="G214" s="4">
        <v>16.7</v>
      </c>
      <c r="H214" s="5">
        <v>76</v>
      </c>
      <c r="I214" s="6" t="s">
        <v>33</v>
      </c>
      <c r="J214" s="6" t="s">
        <v>166</v>
      </c>
      <c r="L214">
        <v>13</v>
      </c>
      <c r="M214">
        <v>8</v>
      </c>
      <c r="N214">
        <v>350</v>
      </c>
      <c r="O214">
        <v>145</v>
      </c>
      <c r="P214">
        <v>4055</v>
      </c>
      <c r="Q214">
        <v>12</v>
      </c>
      <c r="R214">
        <v>76</v>
      </c>
      <c r="S214" t="s">
        <v>12</v>
      </c>
      <c r="T214" t="s">
        <v>168</v>
      </c>
    </row>
    <row r="215" spans="2:20" x14ac:dyDescent="0.3">
      <c r="B215" s="5">
        <v>16.5</v>
      </c>
      <c r="C215" s="5">
        <v>8</v>
      </c>
      <c r="D215" s="5">
        <v>350</v>
      </c>
      <c r="E215" s="5">
        <v>180</v>
      </c>
      <c r="F215" s="5">
        <v>4380</v>
      </c>
      <c r="G215" s="4">
        <v>12.1</v>
      </c>
      <c r="H215" s="5">
        <v>76</v>
      </c>
      <c r="I215" s="6" t="s">
        <v>12</v>
      </c>
      <c r="J215" s="6" t="s">
        <v>167</v>
      </c>
      <c r="L215">
        <v>13</v>
      </c>
      <c r="M215">
        <v>8</v>
      </c>
      <c r="N215">
        <v>302</v>
      </c>
      <c r="O215">
        <v>130</v>
      </c>
      <c r="P215">
        <v>3870</v>
      </c>
      <c r="Q215">
        <v>15</v>
      </c>
      <c r="R215">
        <v>76</v>
      </c>
      <c r="S215" t="s">
        <v>12</v>
      </c>
      <c r="T215" t="s">
        <v>169</v>
      </c>
    </row>
    <row r="216" spans="2:20" x14ac:dyDescent="0.3">
      <c r="B216" s="5">
        <v>13</v>
      </c>
      <c r="C216" s="5">
        <v>8</v>
      </c>
      <c r="D216" s="5">
        <v>350</v>
      </c>
      <c r="E216" s="5">
        <v>145</v>
      </c>
      <c r="F216" s="5">
        <v>4055</v>
      </c>
      <c r="G216" s="4">
        <v>12</v>
      </c>
      <c r="H216" s="5">
        <v>76</v>
      </c>
      <c r="I216" s="6" t="s">
        <v>12</v>
      </c>
      <c r="J216" s="6" t="s">
        <v>168</v>
      </c>
      <c r="L216">
        <v>13</v>
      </c>
      <c r="M216">
        <v>8</v>
      </c>
      <c r="N216">
        <v>318</v>
      </c>
      <c r="O216">
        <v>150</v>
      </c>
      <c r="P216">
        <v>3755</v>
      </c>
      <c r="Q216">
        <v>14</v>
      </c>
      <c r="R216">
        <v>76</v>
      </c>
      <c r="S216" t="s">
        <v>12</v>
      </c>
      <c r="T216" t="s">
        <v>170</v>
      </c>
    </row>
    <row r="217" spans="2:20" x14ac:dyDescent="0.3">
      <c r="B217" s="5">
        <v>13</v>
      </c>
      <c r="C217" s="5">
        <v>8</v>
      </c>
      <c r="D217" s="5">
        <v>302</v>
      </c>
      <c r="E217" s="5">
        <v>130</v>
      </c>
      <c r="F217" s="5">
        <v>3870</v>
      </c>
      <c r="G217" s="4">
        <v>15</v>
      </c>
      <c r="H217" s="5">
        <v>76</v>
      </c>
      <c r="I217" s="6" t="s">
        <v>12</v>
      </c>
      <c r="J217" s="6" t="s">
        <v>169</v>
      </c>
      <c r="L217">
        <v>31.5</v>
      </c>
      <c r="M217">
        <v>4</v>
      </c>
      <c r="N217">
        <v>98</v>
      </c>
      <c r="O217">
        <v>68</v>
      </c>
      <c r="P217">
        <v>2045</v>
      </c>
      <c r="Q217">
        <v>18.5</v>
      </c>
      <c r="R217">
        <v>77</v>
      </c>
      <c r="S217" t="s">
        <v>27</v>
      </c>
      <c r="T217" t="s">
        <v>171</v>
      </c>
    </row>
    <row r="218" spans="2:20" x14ac:dyDescent="0.3">
      <c r="B218" s="5">
        <v>13</v>
      </c>
      <c r="C218" s="5">
        <v>8</v>
      </c>
      <c r="D218" s="5">
        <v>318</v>
      </c>
      <c r="E218" s="5">
        <v>150</v>
      </c>
      <c r="F218" s="5">
        <v>3755</v>
      </c>
      <c r="G218" s="4">
        <v>14</v>
      </c>
      <c r="H218" s="5">
        <v>76</v>
      </c>
      <c r="I218" s="6" t="s">
        <v>12</v>
      </c>
      <c r="J218" s="6" t="s">
        <v>170</v>
      </c>
      <c r="L218">
        <v>30</v>
      </c>
      <c r="M218">
        <v>4</v>
      </c>
      <c r="N218">
        <v>111</v>
      </c>
      <c r="O218">
        <v>80</v>
      </c>
      <c r="P218">
        <v>2155</v>
      </c>
      <c r="Q218">
        <v>14.8</v>
      </c>
      <c r="R218">
        <v>77</v>
      </c>
      <c r="S218" t="s">
        <v>12</v>
      </c>
      <c r="T218" t="s">
        <v>172</v>
      </c>
    </row>
    <row r="219" spans="2:20" x14ac:dyDescent="0.3">
      <c r="B219" s="5">
        <v>31.5</v>
      </c>
      <c r="C219" s="5">
        <v>4</v>
      </c>
      <c r="D219" s="5">
        <v>98</v>
      </c>
      <c r="E219" s="5">
        <v>68</v>
      </c>
      <c r="F219" s="5">
        <v>2045</v>
      </c>
      <c r="G219" s="4">
        <v>18.5</v>
      </c>
      <c r="H219" s="5">
        <v>77</v>
      </c>
      <c r="I219" s="6" t="s">
        <v>27</v>
      </c>
      <c r="J219" s="6" t="s">
        <v>171</v>
      </c>
      <c r="L219">
        <v>36</v>
      </c>
      <c r="M219">
        <v>4</v>
      </c>
      <c r="N219">
        <v>79</v>
      </c>
      <c r="O219">
        <v>58</v>
      </c>
      <c r="P219">
        <v>1825</v>
      </c>
      <c r="Q219">
        <v>18.600000000000001</v>
      </c>
      <c r="R219">
        <v>77</v>
      </c>
      <c r="S219" t="s">
        <v>33</v>
      </c>
      <c r="T219" t="s">
        <v>173</v>
      </c>
    </row>
    <row r="220" spans="2:20" x14ac:dyDescent="0.3">
      <c r="B220" s="5">
        <v>30</v>
      </c>
      <c r="C220" s="5">
        <v>4</v>
      </c>
      <c r="D220" s="5">
        <v>111</v>
      </c>
      <c r="E220" s="5">
        <v>80</v>
      </c>
      <c r="F220" s="5">
        <v>2155</v>
      </c>
      <c r="G220" s="4">
        <v>14.8</v>
      </c>
      <c r="H220" s="5">
        <v>77</v>
      </c>
      <c r="I220" s="6" t="s">
        <v>12</v>
      </c>
      <c r="J220" s="6" t="s">
        <v>172</v>
      </c>
      <c r="L220">
        <v>25.5</v>
      </c>
      <c r="M220">
        <v>4</v>
      </c>
      <c r="N220">
        <v>122</v>
      </c>
      <c r="O220">
        <v>96</v>
      </c>
      <c r="P220">
        <v>2300</v>
      </c>
      <c r="Q220">
        <v>15.5</v>
      </c>
      <c r="R220">
        <v>77</v>
      </c>
      <c r="S220" t="s">
        <v>12</v>
      </c>
      <c r="T220" t="s">
        <v>174</v>
      </c>
    </row>
    <row r="221" spans="2:20" x14ac:dyDescent="0.3">
      <c r="B221" s="5">
        <v>36</v>
      </c>
      <c r="C221" s="5">
        <v>4</v>
      </c>
      <c r="D221" s="5">
        <v>79</v>
      </c>
      <c r="E221" s="5">
        <v>58</v>
      </c>
      <c r="F221" s="5">
        <v>1825</v>
      </c>
      <c r="G221" s="4">
        <v>18.600000000000001</v>
      </c>
      <c r="H221" s="5">
        <v>77</v>
      </c>
      <c r="I221" s="6" t="s">
        <v>33</v>
      </c>
      <c r="J221" s="6" t="s">
        <v>173</v>
      </c>
      <c r="L221">
        <v>33.5</v>
      </c>
      <c r="M221">
        <v>4</v>
      </c>
      <c r="N221">
        <v>85</v>
      </c>
      <c r="O221">
        <v>70</v>
      </c>
      <c r="P221">
        <v>1945</v>
      </c>
      <c r="Q221">
        <v>16.8</v>
      </c>
      <c r="R221">
        <v>77</v>
      </c>
      <c r="S221" t="s">
        <v>27</v>
      </c>
      <c r="T221" t="s">
        <v>175</v>
      </c>
    </row>
    <row r="222" spans="2:20" x14ac:dyDescent="0.3">
      <c r="B222" s="5">
        <v>25.5</v>
      </c>
      <c r="C222" s="5">
        <v>4</v>
      </c>
      <c r="D222" s="5">
        <v>122</v>
      </c>
      <c r="E222" s="5">
        <v>96</v>
      </c>
      <c r="F222" s="5">
        <v>2300</v>
      </c>
      <c r="G222" s="4">
        <v>15.5</v>
      </c>
      <c r="H222" s="5">
        <v>77</v>
      </c>
      <c r="I222" s="6" t="s">
        <v>12</v>
      </c>
      <c r="J222" s="6" t="s">
        <v>174</v>
      </c>
      <c r="L222">
        <v>17.5</v>
      </c>
      <c r="M222">
        <v>8</v>
      </c>
      <c r="N222">
        <v>305</v>
      </c>
      <c r="O222">
        <v>145</v>
      </c>
      <c r="P222">
        <v>3880</v>
      </c>
      <c r="Q222">
        <v>12.5</v>
      </c>
      <c r="R222">
        <v>77</v>
      </c>
      <c r="S222" t="s">
        <v>12</v>
      </c>
      <c r="T222" t="s">
        <v>95</v>
      </c>
    </row>
    <row r="223" spans="2:20" x14ac:dyDescent="0.3">
      <c r="B223" s="5">
        <v>33.5</v>
      </c>
      <c r="C223" s="5">
        <v>4</v>
      </c>
      <c r="D223" s="5">
        <v>85</v>
      </c>
      <c r="E223" s="5">
        <v>70</v>
      </c>
      <c r="F223" s="5">
        <v>1945</v>
      </c>
      <c r="G223" s="4">
        <v>16.8</v>
      </c>
      <c r="H223" s="5">
        <v>77</v>
      </c>
      <c r="I223" s="6" t="s">
        <v>27</v>
      </c>
      <c r="J223" s="6" t="s">
        <v>175</v>
      </c>
      <c r="L223">
        <v>17</v>
      </c>
      <c r="M223">
        <v>8</v>
      </c>
      <c r="N223">
        <v>260</v>
      </c>
      <c r="O223">
        <v>110</v>
      </c>
      <c r="P223">
        <v>4060</v>
      </c>
      <c r="Q223">
        <v>19</v>
      </c>
      <c r="R223">
        <v>77</v>
      </c>
      <c r="S223" t="s">
        <v>12</v>
      </c>
      <c r="T223" t="s">
        <v>176</v>
      </c>
    </row>
    <row r="224" spans="2:20" x14ac:dyDescent="0.3">
      <c r="B224" s="5">
        <v>17.5</v>
      </c>
      <c r="C224" s="5">
        <v>8</v>
      </c>
      <c r="D224" s="5">
        <v>305</v>
      </c>
      <c r="E224" s="5">
        <v>145</v>
      </c>
      <c r="F224" s="5">
        <v>3880</v>
      </c>
      <c r="G224" s="4">
        <v>12.5</v>
      </c>
      <c r="H224" s="5">
        <v>77</v>
      </c>
      <c r="I224" s="6" t="s">
        <v>12</v>
      </c>
      <c r="J224" s="6" t="s">
        <v>95</v>
      </c>
      <c r="L224">
        <v>15.5</v>
      </c>
      <c r="M224">
        <v>8</v>
      </c>
      <c r="N224">
        <v>318</v>
      </c>
      <c r="O224">
        <v>145</v>
      </c>
      <c r="P224">
        <v>4140</v>
      </c>
      <c r="Q224">
        <v>13.7</v>
      </c>
      <c r="R224">
        <v>77</v>
      </c>
      <c r="S224" t="s">
        <v>12</v>
      </c>
      <c r="T224" t="s">
        <v>177</v>
      </c>
    </row>
    <row r="225" spans="2:20" x14ac:dyDescent="0.3">
      <c r="B225" s="5">
        <v>17</v>
      </c>
      <c r="C225" s="5">
        <v>8</v>
      </c>
      <c r="D225" s="5">
        <v>260</v>
      </c>
      <c r="E225" s="5">
        <v>110</v>
      </c>
      <c r="F225" s="5">
        <v>4060</v>
      </c>
      <c r="G225" s="4">
        <v>19</v>
      </c>
      <c r="H225" s="5">
        <v>77</v>
      </c>
      <c r="I225" s="6" t="s">
        <v>12</v>
      </c>
      <c r="J225" s="6" t="s">
        <v>176</v>
      </c>
      <c r="L225">
        <v>15</v>
      </c>
      <c r="M225">
        <v>8</v>
      </c>
      <c r="N225">
        <v>302</v>
      </c>
      <c r="O225">
        <v>130</v>
      </c>
      <c r="P225">
        <v>4295</v>
      </c>
      <c r="Q225">
        <v>14.9</v>
      </c>
      <c r="R225">
        <v>77</v>
      </c>
      <c r="S225" t="s">
        <v>12</v>
      </c>
      <c r="T225" t="s">
        <v>178</v>
      </c>
    </row>
    <row r="226" spans="2:20" x14ac:dyDescent="0.3">
      <c r="B226" s="5">
        <v>15.5</v>
      </c>
      <c r="C226" s="5">
        <v>8</v>
      </c>
      <c r="D226" s="5">
        <v>318</v>
      </c>
      <c r="E226" s="5">
        <v>145</v>
      </c>
      <c r="F226" s="5">
        <v>4140</v>
      </c>
      <c r="G226" s="4">
        <v>13.7</v>
      </c>
      <c r="H226" s="5">
        <v>77</v>
      </c>
      <c r="I226" s="6" t="s">
        <v>12</v>
      </c>
      <c r="J226" s="6" t="s">
        <v>177</v>
      </c>
      <c r="L226">
        <v>17.5</v>
      </c>
      <c r="M226">
        <v>6</v>
      </c>
      <c r="N226">
        <v>250</v>
      </c>
      <c r="O226">
        <v>110</v>
      </c>
      <c r="P226">
        <v>3520</v>
      </c>
      <c r="Q226">
        <v>16.399999999999999</v>
      </c>
      <c r="R226">
        <v>77</v>
      </c>
      <c r="S226" t="s">
        <v>12</v>
      </c>
      <c r="T226" t="s">
        <v>179</v>
      </c>
    </row>
    <row r="227" spans="2:20" x14ac:dyDescent="0.3">
      <c r="B227" s="5">
        <v>15</v>
      </c>
      <c r="C227" s="5">
        <v>8</v>
      </c>
      <c r="D227" s="5">
        <v>302</v>
      </c>
      <c r="E227" s="5">
        <v>130</v>
      </c>
      <c r="F227" s="5">
        <v>4295</v>
      </c>
      <c r="G227" s="4">
        <v>14.9</v>
      </c>
      <c r="H227" s="5">
        <v>77</v>
      </c>
      <c r="I227" s="6" t="s">
        <v>12</v>
      </c>
      <c r="J227" s="6" t="s">
        <v>178</v>
      </c>
      <c r="L227">
        <v>20.5</v>
      </c>
      <c r="M227">
        <v>6</v>
      </c>
      <c r="N227">
        <v>231</v>
      </c>
      <c r="O227">
        <v>105</v>
      </c>
      <c r="P227">
        <v>3425</v>
      </c>
      <c r="Q227">
        <v>16.899999999999999</v>
      </c>
      <c r="R227">
        <v>77</v>
      </c>
      <c r="S227" t="s">
        <v>12</v>
      </c>
      <c r="T227" t="s">
        <v>180</v>
      </c>
    </row>
    <row r="228" spans="2:20" x14ac:dyDescent="0.3">
      <c r="B228" s="5">
        <v>17.5</v>
      </c>
      <c r="C228" s="5">
        <v>6</v>
      </c>
      <c r="D228" s="5">
        <v>250</v>
      </c>
      <c r="E228" s="5">
        <v>110</v>
      </c>
      <c r="F228" s="5">
        <v>3520</v>
      </c>
      <c r="G228" s="4">
        <v>16.399999999999999</v>
      </c>
      <c r="H228" s="5">
        <v>77</v>
      </c>
      <c r="I228" s="6" t="s">
        <v>12</v>
      </c>
      <c r="J228" s="6" t="s">
        <v>179</v>
      </c>
      <c r="L228">
        <v>19</v>
      </c>
      <c r="M228">
        <v>6</v>
      </c>
      <c r="N228">
        <v>225</v>
      </c>
      <c r="O228">
        <v>100</v>
      </c>
      <c r="P228">
        <v>3630</v>
      </c>
      <c r="Q228">
        <v>17.7</v>
      </c>
      <c r="R228">
        <v>77</v>
      </c>
      <c r="S228" t="s">
        <v>12</v>
      </c>
      <c r="T228" t="s">
        <v>181</v>
      </c>
    </row>
    <row r="229" spans="2:20" x14ac:dyDescent="0.3">
      <c r="B229" s="5">
        <v>20.5</v>
      </c>
      <c r="C229" s="5">
        <v>6</v>
      </c>
      <c r="D229" s="5">
        <v>231</v>
      </c>
      <c r="E229" s="5">
        <v>105</v>
      </c>
      <c r="F229" s="5">
        <v>3425</v>
      </c>
      <c r="G229" s="4">
        <v>16.899999999999999</v>
      </c>
      <c r="H229" s="5">
        <v>77</v>
      </c>
      <c r="I229" s="6" t="s">
        <v>12</v>
      </c>
      <c r="J229" s="6" t="s">
        <v>180</v>
      </c>
      <c r="L229">
        <v>18.5</v>
      </c>
      <c r="M229">
        <v>6</v>
      </c>
      <c r="N229">
        <v>250</v>
      </c>
      <c r="O229">
        <v>98</v>
      </c>
      <c r="P229">
        <v>3525</v>
      </c>
      <c r="Q229">
        <v>19</v>
      </c>
      <c r="R229">
        <v>77</v>
      </c>
      <c r="S229" t="s">
        <v>12</v>
      </c>
      <c r="T229" t="s">
        <v>182</v>
      </c>
    </row>
    <row r="230" spans="2:20" x14ac:dyDescent="0.3">
      <c r="B230" s="5">
        <v>19</v>
      </c>
      <c r="C230" s="5">
        <v>6</v>
      </c>
      <c r="D230" s="5">
        <v>225</v>
      </c>
      <c r="E230" s="5">
        <v>100</v>
      </c>
      <c r="F230" s="5">
        <v>3630</v>
      </c>
      <c r="G230" s="4">
        <v>17.7</v>
      </c>
      <c r="H230" s="5">
        <v>77</v>
      </c>
      <c r="I230" s="6" t="s">
        <v>12</v>
      </c>
      <c r="J230" s="6" t="s">
        <v>181</v>
      </c>
      <c r="L230">
        <v>16</v>
      </c>
      <c r="M230">
        <v>8</v>
      </c>
      <c r="N230">
        <v>400</v>
      </c>
      <c r="O230">
        <v>180</v>
      </c>
      <c r="P230">
        <v>4220</v>
      </c>
      <c r="Q230">
        <v>11.1</v>
      </c>
      <c r="R230">
        <v>77</v>
      </c>
      <c r="S230" t="s">
        <v>12</v>
      </c>
      <c r="T230" t="s">
        <v>183</v>
      </c>
    </row>
    <row r="231" spans="2:20" x14ac:dyDescent="0.3">
      <c r="B231" s="5">
        <v>18.5</v>
      </c>
      <c r="C231" s="5">
        <v>6</v>
      </c>
      <c r="D231" s="5">
        <v>250</v>
      </c>
      <c r="E231" s="5">
        <v>98</v>
      </c>
      <c r="F231" s="5">
        <v>3525</v>
      </c>
      <c r="G231" s="4">
        <v>19</v>
      </c>
      <c r="H231" s="5">
        <v>77</v>
      </c>
      <c r="I231" s="6" t="s">
        <v>12</v>
      </c>
      <c r="J231" s="6" t="s">
        <v>182</v>
      </c>
      <c r="L231">
        <v>15.5</v>
      </c>
      <c r="M231">
        <v>8</v>
      </c>
      <c r="N231">
        <v>350</v>
      </c>
      <c r="O231">
        <v>170</v>
      </c>
      <c r="P231">
        <v>4165</v>
      </c>
      <c r="Q231">
        <v>11.4</v>
      </c>
      <c r="R231">
        <v>77</v>
      </c>
      <c r="S231" t="s">
        <v>12</v>
      </c>
      <c r="T231" t="s">
        <v>184</v>
      </c>
    </row>
    <row r="232" spans="2:20" x14ac:dyDescent="0.3">
      <c r="B232" s="5">
        <v>16</v>
      </c>
      <c r="C232" s="5">
        <v>8</v>
      </c>
      <c r="D232" s="5">
        <v>400</v>
      </c>
      <c r="E232" s="5">
        <v>180</v>
      </c>
      <c r="F232" s="5">
        <v>4220</v>
      </c>
      <c r="G232" s="4">
        <v>11.1</v>
      </c>
      <c r="H232" s="5">
        <v>77</v>
      </c>
      <c r="I232" s="6" t="s">
        <v>12</v>
      </c>
      <c r="J232" s="6" t="s">
        <v>183</v>
      </c>
      <c r="L232">
        <v>15.5</v>
      </c>
      <c r="M232">
        <v>8</v>
      </c>
      <c r="N232">
        <v>400</v>
      </c>
      <c r="O232">
        <v>190</v>
      </c>
      <c r="P232">
        <v>4325</v>
      </c>
      <c r="Q232">
        <v>12.2</v>
      </c>
      <c r="R232">
        <v>77</v>
      </c>
      <c r="S232" t="s">
        <v>12</v>
      </c>
      <c r="T232" t="s">
        <v>185</v>
      </c>
    </row>
    <row r="233" spans="2:20" x14ac:dyDescent="0.3">
      <c r="B233" s="5">
        <v>15.5</v>
      </c>
      <c r="C233" s="5">
        <v>8</v>
      </c>
      <c r="D233" s="5">
        <v>350</v>
      </c>
      <c r="E233" s="5">
        <v>170</v>
      </c>
      <c r="F233" s="5">
        <v>4165</v>
      </c>
      <c r="G233" s="4">
        <v>11.4</v>
      </c>
      <c r="H233" s="5">
        <v>77</v>
      </c>
      <c r="I233" s="6" t="s">
        <v>12</v>
      </c>
      <c r="J233" s="6" t="s">
        <v>184</v>
      </c>
      <c r="L233">
        <v>16</v>
      </c>
      <c r="M233">
        <v>8</v>
      </c>
      <c r="N233">
        <v>351</v>
      </c>
      <c r="O233">
        <v>149</v>
      </c>
      <c r="P233">
        <v>4335</v>
      </c>
      <c r="Q233">
        <v>14.5</v>
      </c>
      <c r="R233">
        <v>77</v>
      </c>
      <c r="S233" t="s">
        <v>12</v>
      </c>
      <c r="T233" t="s">
        <v>186</v>
      </c>
    </row>
    <row r="234" spans="2:20" x14ac:dyDescent="0.3">
      <c r="B234" s="5">
        <v>15.5</v>
      </c>
      <c r="C234" s="5">
        <v>8</v>
      </c>
      <c r="D234" s="5">
        <v>400</v>
      </c>
      <c r="E234" s="5">
        <v>190</v>
      </c>
      <c r="F234" s="5">
        <v>4325</v>
      </c>
      <c r="G234" s="4">
        <v>12.2</v>
      </c>
      <c r="H234" s="5">
        <v>77</v>
      </c>
      <c r="I234" s="6" t="s">
        <v>12</v>
      </c>
      <c r="J234" s="6" t="s">
        <v>185</v>
      </c>
      <c r="L234">
        <v>29</v>
      </c>
      <c r="M234">
        <v>4</v>
      </c>
      <c r="N234">
        <v>97</v>
      </c>
      <c r="O234">
        <v>78</v>
      </c>
      <c r="P234">
        <v>1940</v>
      </c>
      <c r="Q234">
        <v>14.5</v>
      </c>
      <c r="R234">
        <v>77</v>
      </c>
      <c r="S234" t="s">
        <v>33</v>
      </c>
      <c r="T234" t="s">
        <v>187</v>
      </c>
    </row>
    <row r="235" spans="2:20" x14ac:dyDescent="0.3">
      <c r="B235" s="5">
        <v>16</v>
      </c>
      <c r="C235" s="5">
        <v>8</v>
      </c>
      <c r="D235" s="5">
        <v>351</v>
      </c>
      <c r="E235" s="5">
        <v>149</v>
      </c>
      <c r="F235" s="5">
        <v>4335</v>
      </c>
      <c r="G235" s="4">
        <v>14.5</v>
      </c>
      <c r="H235" s="5">
        <v>77</v>
      </c>
      <c r="I235" s="6" t="s">
        <v>12</v>
      </c>
      <c r="J235" s="6" t="s">
        <v>186</v>
      </c>
      <c r="L235">
        <v>24.5</v>
      </c>
      <c r="M235">
        <v>4</v>
      </c>
      <c r="N235">
        <v>151</v>
      </c>
      <c r="O235">
        <v>88</v>
      </c>
      <c r="P235">
        <v>2740</v>
      </c>
      <c r="Q235">
        <v>16</v>
      </c>
      <c r="R235">
        <v>77</v>
      </c>
      <c r="S235" t="s">
        <v>12</v>
      </c>
      <c r="T235" t="s">
        <v>188</v>
      </c>
    </row>
    <row r="236" spans="2:20" x14ac:dyDescent="0.3">
      <c r="B236" s="5">
        <v>29</v>
      </c>
      <c r="C236" s="5">
        <v>4</v>
      </c>
      <c r="D236" s="5">
        <v>97</v>
      </c>
      <c r="E236" s="5">
        <v>78</v>
      </c>
      <c r="F236" s="5">
        <v>1940</v>
      </c>
      <c r="G236" s="4">
        <v>14.5</v>
      </c>
      <c r="H236" s="5">
        <v>77</v>
      </c>
      <c r="I236" s="6" t="s">
        <v>33</v>
      </c>
      <c r="J236" s="6" t="s">
        <v>187</v>
      </c>
      <c r="L236">
        <v>26</v>
      </c>
      <c r="M236">
        <v>4</v>
      </c>
      <c r="N236">
        <v>97</v>
      </c>
      <c r="O236">
        <v>75</v>
      </c>
      <c r="P236">
        <v>2265</v>
      </c>
      <c r="Q236">
        <v>18.2</v>
      </c>
      <c r="R236">
        <v>77</v>
      </c>
      <c r="S236" t="s">
        <v>27</v>
      </c>
      <c r="T236" t="s">
        <v>189</v>
      </c>
    </row>
    <row r="237" spans="2:20" x14ac:dyDescent="0.3">
      <c r="B237" s="5">
        <v>24.5</v>
      </c>
      <c r="C237" s="5">
        <v>4</v>
      </c>
      <c r="D237" s="5">
        <v>151</v>
      </c>
      <c r="E237" s="5">
        <v>88</v>
      </c>
      <c r="F237" s="5">
        <v>2740</v>
      </c>
      <c r="G237" s="4">
        <v>16</v>
      </c>
      <c r="H237" s="5">
        <v>77</v>
      </c>
      <c r="I237" s="6" t="s">
        <v>12</v>
      </c>
      <c r="J237" s="6" t="s">
        <v>188</v>
      </c>
      <c r="L237">
        <v>25.5</v>
      </c>
      <c r="M237">
        <v>4</v>
      </c>
      <c r="N237">
        <v>140</v>
      </c>
      <c r="O237">
        <v>89</v>
      </c>
      <c r="P237">
        <v>2755</v>
      </c>
      <c r="Q237">
        <v>15.8</v>
      </c>
      <c r="R237">
        <v>77</v>
      </c>
      <c r="S237" t="s">
        <v>12</v>
      </c>
      <c r="T237" t="s">
        <v>190</v>
      </c>
    </row>
    <row r="238" spans="2:20" x14ac:dyDescent="0.3">
      <c r="B238" s="5">
        <v>26</v>
      </c>
      <c r="C238" s="5">
        <v>4</v>
      </c>
      <c r="D238" s="5">
        <v>97</v>
      </c>
      <c r="E238" s="5">
        <v>75</v>
      </c>
      <c r="F238" s="5">
        <v>2265</v>
      </c>
      <c r="G238" s="4">
        <v>18.2</v>
      </c>
      <c r="H238" s="5">
        <v>77</v>
      </c>
      <c r="I238" s="6" t="s">
        <v>27</v>
      </c>
      <c r="J238" s="6" t="s">
        <v>189</v>
      </c>
      <c r="L238">
        <v>30.5</v>
      </c>
      <c r="M238">
        <v>4</v>
      </c>
      <c r="N238">
        <v>98</v>
      </c>
      <c r="O238">
        <v>63</v>
      </c>
      <c r="P238">
        <v>2051</v>
      </c>
      <c r="Q238">
        <v>17</v>
      </c>
      <c r="R238">
        <v>77</v>
      </c>
      <c r="S238" t="s">
        <v>12</v>
      </c>
      <c r="T238" t="s">
        <v>156</v>
      </c>
    </row>
    <row r="239" spans="2:20" x14ac:dyDescent="0.3">
      <c r="B239" s="5">
        <v>25.5</v>
      </c>
      <c r="C239" s="5">
        <v>4</v>
      </c>
      <c r="D239" s="5">
        <v>140</v>
      </c>
      <c r="E239" s="5">
        <v>89</v>
      </c>
      <c r="F239" s="5">
        <v>2755</v>
      </c>
      <c r="G239" s="4">
        <v>15.8</v>
      </c>
      <c r="H239" s="5">
        <v>77</v>
      </c>
      <c r="I239" s="6" t="s">
        <v>12</v>
      </c>
      <c r="J239" s="6" t="s">
        <v>190</v>
      </c>
      <c r="L239">
        <v>33.5</v>
      </c>
      <c r="M239">
        <v>4</v>
      </c>
      <c r="N239">
        <v>98</v>
      </c>
      <c r="O239">
        <v>83</v>
      </c>
      <c r="P239">
        <v>2075</v>
      </c>
      <c r="Q239">
        <v>15.9</v>
      </c>
      <c r="R239">
        <v>77</v>
      </c>
      <c r="S239" t="s">
        <v>12</v>
      </c>
      <c r="T239" t="s">
        <v>191</v>
      </c>
    </row>
    <row r="240" spans="2:20" x14ac:dyDescent="0.3">
      <c r="B240" s="5">
        <v>30.5</v>
      </c>
      <c r="C240" s="5">
        <v>4</v>
      </c>
      <c r="D240" s="5">
        <v>98</v>
      </c>
      <c r="E240" s="5">
        <v>63</v>
      </c>
      <c r="F240" s="5">
        <v>2051</v>
      </c>
      <c r="G240" s="4">
        <v>17</v>
      </c>
      <c r="H240" s="5">
        <v>77</v>
      </c>
      <c r="I240" s="6" t="s">
        <v>12</v>
      </c>
      <c r="J240" s="6" t="s">
        <v>156</v>
      </c>
      <c r="L240">
        <v>30</v>
      </c>
      <c r="M240">
        <v>4</v>
      </c>
      <c r="N240">
        <v>97</v>
      </c>
      <c r="O240">
        <v>67</v>
      </c>
      <c r="P240">
        <v>1985</v>
      </c>
      <c r="Q240">
        <v>16.399999999999999</v>
      </c>
      <c r="R240">
        <v>77</v>
      </c>
      <c r="S240" t="s">
        <v>27</v>
      </c>
      <c r="T240" t="s">
        <v>192</v>
      </c>
    </row>
    <row r="241" spans="2:20" x14ac:dyDescent="0.3">
      <c r="B241" s="5">
        <v>33.5</v>
      </c>
      <c r="C241" s="5">
        <v>4</v>
      </c>
      <c r="D241" s="5">
        <v>98</v>
      </c>
      <c r="E241" s="5">
        <v>83</v>
      </c>
      <c r="F241" s="5">
        <v>2075</v>
      </c>
      <c r="G241" s="4">
        <v>15.9</v>
      </c>
      <c r="H241" s="5">
        <v>77</v>
      </c>
      <c r="I241" s="6" t="s">
        <v>12</v>
      </c>
      <c r="J241" s="6" t="s">
        <v>191</v>
      </c>
      <c r="L241">
        <v>30.5</v>
      </c>
      <c r="M241">
        <v>4</v>
      </c>
      <c r="N241">
        <v>97</v>
      </c>
      <c r="O241">
        <v>78</v>
      </c>
      <c r="P241">
        <v>2190</v>
      </c>
      <c r="Q241">
        <v>14.1</v>
      </c>
      <c r="R241">
        <v>77</v>
      </c>
      <c r="S241" t="s">
        <v>33</v>
      </c>
      <c r="T241" t="s">
        <v>129</v>
      </c>
    </row>
    <row r="242" spans="2:20" x14ac:dyDescent="0.3">
      <c r="B242" s="5">
        <v>30</v>
      </c>
      <c r="C242" s="5">
        <v>4</v>
      </c>
      <c r="D242" s="5">
        <v>97</v>
      </c>
      <c r="E242" s="5">
        <v>67</v>
      </c>
      <c r="F242" s="5">
        <v>1985</v>
      </c>
      <c r="G242" s="4">
        <v>16.399999999999999</v>
      </c>
      <c r="H242" s="5">
        <v>77</v>
      </c>
      <c r="I242" s="6" t="s">
        <v>27</v>
      </c>
      <c r="J242" s="6" t="s">
        <v>192</v>
      </c>
      <c r="L242">
        <v>22</v>
      </c>
      <c r="M242">
        <v>6</v>
      </c>
      <c r="N242">
        <v>146</v>
      </c>
      <c r="O242">
        <v>97</v>
      </c>
      <c r="P242">
        <v>2815</v>
      </c>
      <c r="Q242">
        <v>14.5</v>
      </c>
      <c r="R242">
        <v>77</v>
      </c>
      <c r="S242" t="s">
        <v>27</v>
      </c>
      <c r="T242" t="s">
        <v>193</v>
      </c>
    </row>
    <row r="243" spans="2:20" x14ac:dyDescent="0.3">
      <c r="B243" s="5">
        <v>30.5</v>
      </c>
      <c r="C243" s="5">
        <v>4</v>
      </c>
      <c r="D243" s="5">
        <v>97</v>
      </c>
      <c r="E243" s="5">
        <v>78</v>
      </c>
      <c r="F243" s="5">
        <v>2190</v>
      </c>
      <c r="G243" s="4">
        <v>14.1</v>
      </c>
      <c r="H243" s="5">
        <v>77</v>
      </c>
      <c r="I243" s="6" t="s">
        <v>33</v>
      </c>
      <c r="J243" s="6" t="s">
        <v>129</v>
      </c>
      <c r="L243">
        <v>21.5</v>
      </c>
      <c r="M243">
        <v>4</v>
      </c>
      <c r="N243">
        <v>121</v>
      </c>
      <c r="O243">
        <v>110</v>
      </c>
      <c r="P243">
        <v>2600</v>
      </c>
      <c r="Q243">
        <v>12.8</v>
      </c>
      <c r="R243">
        <v>77</v>
      </c>
      <c r="S243" t="s">
        <v>33</v>
      </c>
      <c r="T243" t="s">
        <v>194</v>
      </c>
    </row>
    <row r="244" spans="2:20" x14ac:dyDescent="0.3">
      <c r="B244" s="5">
        <v>22</v>
      </c>
      <c r="C244" s="5">
        <v>6</v>
      </c>
      <c r="D244" s="5">
        <v>146</v>
      </c>
      <c r="E244" s="5">
        <v>97</v>
      </c>
      <c r="F244" s="5">
        <v>2815</v>
      </c>
      <c r="G244" s="4">
        <v>14.5</v>
      </c>
      <c r="H244" s="5">
        <v>77</v>
      </c>
      <c r="I244" s="6" t="s">
        <v>27</v>
      </c>
      <c r="J244" s="6" t="s">
        <v>193</v>
      </c>
      <c r="L244">
        <v>21.5</v>
      </c>
      <c r="M244">
        <v>3</v>
      </c>
      <c r="N244">
        <v>80</v>
      </c>
      <c r="O244">
        <v>110</v>
      </c>
      <c r="P244">
        <v>2720</v>
      </c>
      <c r="Q244">
        <v>13.5</v>
      </c>
      <c r="R244">
        <v>77</v>
      </c>
      <c r="S244" t="s">
        <v>27</v>
      </c>
      <c r="T244" t="s">
        <v>195</v>
      </c>
    </row>
    <row r="245" spans="2:20" x14ac:dyDescent="0.3">
      <c r="B245" s="5">
        <v>21.5</v>
      </c>
      <c r="C245" s="5">
        <v>4</v>
      </c>
      <c r="D245" s="5">
        <v>121</v>
      </c>
      <c r="E245" s="5">
        <v>110</v>
      </c>
      <c r="F245" s="5">
        <v>2600</v>
      </c>
      <c r="G245" s="4">
        <v>12.8</v>
      </c>
      <c r="H245" s="5">
        <v>77</v>
      </c>
      <c r="I245" s="6" t="s">
        <v>33</v>
      </c>
      <c r="J245" s="6" t="s">
        <v>194</v>
      </c>
      <c r="L245">
        <v>43.1</v>
      </c>
      <c r="M245">
        <v>4</v>
      </c>
      <c r="N245">
        <v>90</v>
      </c>
      <c r="O245">
        <v>48</v>
      </c>
      <c r="P245">
        <v>1985</v>
      </c>
      <c r="Q245">
        <v>21.5</v>
      </c>
      <c r="R245">
        <v>78</v>
      </c>
      <c r="S245" t="s">
        <v>33</v>
      </c>
      <c r="T245" t="s">
        <v>196</v>
      </c>
    </row>
    <row r="246" spans="2:20" x14ac:dyDescent="0.3">
      <c r="B246" s="5">
        <v>21.5</v>
      </c>
      <c r="C246" s="5">
        <v>3</v>
      </c>
      <c r="D246" s="5">
        <v>80</v>
      </c>
      <c r="E246" s="5">
        <v>110</v>
      </c>
      <c r="F246" s="5">
        <v>2720</v>
      </c>
      <c r="G246" s="4">
        <v>13.5</v>
      </c>
      <c r="H246" s="5">
        <v>77</v>
      </c>
      <c r="I246" s="6" t="s">
        <v>27</v>
      </c>
      <c r="J246" s="6" t="s">
        <v>195</v>
      </c>
      <c r="L246">
        <v>36.1</v>
      </c>
      <c r="M246">
        <v>4</v>
      </c>
      <c r="N246">
        <v>98</v>
      </c>
      <c r="O246">
        <v>66</v>
      </c>
      <c r="P246">
        <v>1800</v>
      </c>
      <c r="Q246">
        <v>14.4</v>
      </c>
      <c r="R246">
        <v>78</v>
      </c>
      <c r="S246" t="s">
        <v>12</v>
      </c>
      <c r="T246" t="s">
        <v>197</v>
      </c>
    </row>
    <row r="247" spans="2:20" x14ac:dyDescent="0.3">
      <c r="B247" s="5">
        <v>43.1</v>
      </c>
      <c r="C247" s="5">
        <v>4</v>
      </c>
      <c r="D247" s="5">
        <v>90</v>
      </c>
      <c r="E247" s="5">
        <v>48</v>
      </c>
      <c r="F247" s="5">
        <v>1985</v>
      </c>
      <c r="G247" s="4">
        <v>21.5</v>
      </c>
      <c r="H247" s="5">
        <v>78</v>
      </c>
      <c r="I247" s="6" t="s">
        <v>33</v>
      </c>
      <c r="J247" s="6" t="s">
        <v>196</v>
      </c>
      <c r="L247">
        <v>32.799999999999997</v>
      </c>
      <c r="M247">
        <v>4</v>
      </c>
      <c r="N247">
        <v>78</v>
      </c>
      <c r="O247">
        <v>52</v>
      </c>
      <c r="P247">
        <v>1985</v>
      </c>
      <c r="Q247">
        <v>19.399999999999999</v>
      </c>
      <c r="R247">
        <v>78</v>
      </c>
      <c r="S247" t="s">
        <v>27</v>
      </c>
      <c r="T247" t="s">
        <v>198</v>
      </c>
    </row>
    <row r="248" spans="2:20" x14ac:dyDescent="0.3">
      <c r="B248" s="5">
        <v>36.1</v>
      </c>
      <c r="C248" s="5">
        <v>4</v>
      </c>
      <c r="D248" s="5">
        <v>98</v>
      </c>
      <c r="E248" s="5">
        <v>66</v>
      </c>
      <c r="F248" s="5">
        <v>1800</v>
      </c>
      <c r="G248" s="4">
        <v>14.4</v>
      </c>
      <c r="H248" s="5">
        <v>78</v>
      </c>
      <c r="I248" s="6" t="s">
        <v>12</v>
      </c>
      <c r="J248" s="6" t="s">
        <v>197</v>
      </c>
      <c r="L248">
        <v>39.4</v>
      </c>
      <c r="M248">
        <v>4</v>
      </c>
      <c r="N248">
        <v>85</v>
      </c>
      <c r="O248">
        <v>70</v>
      </c>
      <c r="P248">
        <v>2070</v>
      </c>
      <c r="Q248">
        <v>18.600000000000001</v>
      </c>
      <c r="R248">
        <v>78</v>
      </c>
      <c r="S248" t="s">
        <v>27</v>
      </c>
      <c r="T248" t="s">
        <v>199</v>
      </c>
    </row>
    <row r="249" spans="2:20" x14ac:dyDescent="0.3">
      <c r="B249" s="5">
        <v>32.799999999999997</v>
      </c>
      <c r="C249" s="5">
        <v>4</v>
      </c>
      <c r="D249" s="5">
        <v>78</v>
      </c>
      <c r="E249" s="5">
        <v>52</v>
      </c>
      <c r="F249" s="5">
        <v>1985</v>
      </c>
      <c r="G249" s="4">
        <v>19.399999999999999</v>
      </c>
      <c r="H249" s="5">
        <v>78</v>
      </c>
      <c r="I249" s="6" t="s">
        <v>27</v>
      </c>
      <c r="J249" s="6" t="s">
        <v>198</v>
      </c>
      <c r="L249">
        <v>36.1</v>
      </c>
      <c r="M249">
        <v>4</v>
      </c>
      <c r="N249">
        <v>91</v>
      </c>
      <c r="O249">
        <v>60</v>
      </c>
      <c r="P249">
        <v>1800</v>
      </c>
      <c r="Q249">
        <v>16.399999999999999</v>
      </c>
      <c r="R249">
        <v>78</v>
      </c>
      <c r="S249" t="s">
        <v>27</v>
      </c>
      <c r="T249" t="s">
        <v>151</v>
      </c>
    </row>
    <row r="250" spans="2:20" x14ac:dyDescent="0.3">
      <c r="B250" s="5">
        <v>39.4</v>
      </c>
      <c r="C250" s="5">
        <v>4</v>
      </c>
      <c r="D250" s="5">
        <v>85</v>
      </c>
      <c r="E250" s="5">
        <v>70</v>
      </c>
      <c r="F250" s="5">
        <v>2070</v>
      </c>
      <c r="G250" s="4">
        <v>18.600000000000001</v>
      </c>
      <c r="H250" s="5">
        <v>78</v>
      </c>
      <c r="I250" s="6" t="s">
        <v>27</v>
      </c>
      <c r="J250" s="6" t="s">
        <v>199</v>
      </c>
      <c r="L250">
        <v>19.899999999999999</v>
      </c>
      <c r="M250">
        <v>8</v>
      </c>
      <c r="N250">
        <v>260</v>
      </c>
      <c r="O250">
        <v>110</v>
      </c>
      <c r="P250">
        <v>3365</v>
      </c>
      <c r="Q250">
        <v>15.5</v>
      </c>
      <c r="R250">
        <v>78</v>
      </c>
      <c r="S250" t="s">
        <v>12</v>
      </c>
      <c r="T250" t="s">
        <v>200</v>
      </c>
    </row>
    <row r="251" spans="2:20" x14ac:dyDescent="0.3">
      <c r="B251" s="5">
        <v>36.1</v>
      </c>
      <c r="C251" s="5">
        <v>4</v>
      </c>
      <c r="D251" s="5">
        <v>91</v>
      </c>
      <c r="E251" s="5">
        <v>60</v>
      </c>
      <c r="F251" s="5">
        <v>1800</v>
      </c>
      <c r="G251" s="4">
        <v>16.399999999999999</v>
      </c>
      <c r="H251" s="5">
        <v>78</v>
      </c>
      <c r="I251" s="6" t="s">
        <v>27</v>
      </c>
      <c r="J251" s="6" t="s">
        <v>151</v>
      </c>
      <c r="L251">
        <v>19.399999999999999</v>
      </c>
      <c r="M251">
        <v>8</v>
      </c>
      <c r="N251">
        <v>318</v>
      </c>
      <c r="O251">
        <v>140</v>
      </c>
      <c r="P251">
        <v>3735</v>
      </c>
      <c r="Q251">
        <v>13.2</v>
      </c>
      <c r="R251">
        <v>78</v>
      </c>
      <c r="S251" t="s">
        <v>12</v>
      </c>
      <c r="T251" t="s">
        <v>201</v>
      </c>
    </row>
    <row r="252" spans="2:20" x14ac:dyDescent="0.3">
      <c r="B252" s="5">
        <v>19.899999999999999</v>
      </c>
      <c r="C252" s="5">
        <v>8</v>
      </c>
      <c r="D252" s="5">
        <v>260</v>
      </c>
      <c r="E252" s="5">
        <v>110</v>
      </c>
      <c r="F252" s="5">
        <v>3365</v>
      </c>
      <c r="G252" s="4">
        <v>15.5</v>
      </c>
      <c r="H252" s="5">
        <v>78</v>
      </c>
      <c r="I252" s="6" t="s">
        <v>12</v>
      </c>
      <c r="J252" s="6" t="s">
        <v>200</v>
      </c>
      <c r="L252">
        <v>20.2</v>
      </c>
      <c r="M252">
        <v>8</v>
      </c>
      <c r="N252">
        <v>302</v>
      </c>
      <c r="O252">
        <v>139</v>
      </c>
      <c r="P252">
        <v>3570</v>
      </c>
      <c r="Q252">
        <v>12.8</v>
      </c>
      <c r="R252">
        <v>78</v>
      </c>
      <c r="S252" t="s">
        <v>12</v>
      </c>
      <c r="T252" t="s">
        <v>202</v>
      </c>
    </row>
    <row r="253" spans="2:20" x14ac:dyDescent="0.3">
      <c r="B253" s="5">
        <v>19.399999999999999</v>
      </c>
      <c r="C253" s="5">
        <v>8</v>
      </c>
      <c r="D253" s="5">
        <v>318</v>
      </c>
      <c r="E253" s="5">
        <v>140</v>
      </c>
      <c r="F253" s="5">
        <v>3735</v>
      </c>
      <c r="G253" s="4">
        <v>13.2</v>
      </c>
      <c r="H253" s="5">
        <v>78</v>
      </c>
      <c r="I253" s="6" t="s">
        <v>12</v>
      </c>
      <c r="J253" s="6" t="s">
        <v>201</v>
      </c>
      <c r="L253">
        <v>19.2</v>
      </c>
      <c r="M253">
        <v>6</v>
      </c>
      <c r="N253">
        <v>231</v>
      </c>
      <c r="O253">
        <v>105</v>
      </c>
      <c r="P253">
        <v>3535</v>
      </c>
      <c r="Q253">
        <v>19.2</v>
      </c>
      <c r="R253">
        <v>78</v>
      </c>
      <c r="S253" t="s">
        <v>12</v>
      </c>
      <c r="T253" t="s">
        <v>203</v>
      </c>
    </row>
    <row r="254" spans="2:20" x14ac:dyDescent="0.3">
      <c r="B254" s="5">
        <v>20.2</v>
      </c>
      <c r="C254" s="5">
        <v>8</v>
      </c>
      <c r="D254" s="5">
        <v>302</v>
      </c>
      <c r="E254" s="5">
        <v>139</v>
      </c>
      <c r="F254" s="5">
        <v>3570</v>
      </c>
      <c r="G254" s="4">
        <v>12.8</v>
      </c>
      <c r="H254" s="5">
        <v>78</v>
      </c>
      <c r="I254" s="6" t="s">
        <v>12</v>
      </c>
      <c r="J254" s="6" t="s">
        <v>202</v>
      </c>
      <c r="L254">
        <v>20.5</v>
      </c>
      <c r="M254">
        <v>6</v>
      </c>
      <c r="N254">
        <v>200</v>
      </c>
      <c r="O254">
        <v>95</v>
      </c>
      <c r="P254">
        <v>3155</v>
      </c>
      <c r="Q254">
        <v>18.2</v>
      </c>
      <c r="R254">
        <v>78</v>
      </c>
      <c r="S254" t="s">
        <v>12</v>
      </c>
      <c r="T254" t="s">
        <v>91</v>
      </c>
    </row>
    <row r="255" spans="2:20" x14ac:dyDescent="0.3">
      <c r="B255" s="5">
        <v>19.2</v>
      </c>
      <c r="C255" s="5">
        <v>6</v>
      </c>
      <c r="D255" s="5">
        <v>231</v>
      </c>
      <c r="E255" s="5">
        <v>105</v>
      </c>
      <c r="F255" s="5">
        <v>3535</v>
      </c>
      <c r="G255" s="4">
        <v>19.2</v>
      </c>
      <c r="H255" s="5">
        <v>78</v>
      </c>
      <c r="I255" s="6" t="s">
        <v>12</v>
      </c>
      <c r="J255" s="6" t="s">
        <v>203</v>
      </c>
      <c r="L255">
        <v>20.2</v>
      </c>
      <c r="M255">
        <v>6</v>
      </c>
      <c r="N255">
        <v>200</v>
      </c>
      <c r="O255">
        <v>85</v>
      </c>
      <c r="P255">
        <v>2965</v>
      </c>
      <c r="Q255">
        <v>15.8</v>
      </c>
      <c r="R255">
        <v>78</v>
      </c>
      <c r="S255" t="s">
        <v>12</v>
      </c>
      <c r="T255" t="s">
        <v>204</v>
      </c>
    </row>
    <row r="256" spans="2:20" x14ac:dyDescent="0.3">
      <c r="B256" s="5">
        <v>20.5</v>
      </c>
      <c r="C256" s="5">
        <v>6</v>
      </c>
      <c r="D256" s="5">
        <v>200</v>
      </c>
      <c r="E256" s="5">
        <v>95</v>
      </c>
      <c r="F256" s="5">
        <v>3155</v>
      </c>
      <c r="G256" s="4">
        <v>18.2</v>
      </c>
      <c r="H256" s="5">
        <v>78</v>
      </c>
      <c r="I256" s="6" t="s">
        <v>12</v>
      </c>
      <c r="J256" s="6" t="s">
        <v>91</v>
      </c>
      <c r="L256">
        <v>25.1</v>
      </c>
      <c r="M256">
        <v>4</v>
      </c>
      <c r="N256">
        <v>140</v>
      </c>
      <c r="O256">
        <v>88</v>
      </c>
      <c r="P256">
        <v>2720</v>
      </c>
      <c r="Q256">
        <v>15.4</v>
      </c>
      <c r="R256">
        <v>78</v>
      </c>
      <c r="S256" t="s">
        <v>12</v>
      </c>
      <c r="T256" t="s">
        <v>205</v>
      </c>
    </row>
    <row r="257" spans="2:20" x14ac:dyDescent="0.3">
      <c r="B257" s="5">
        <v>20.2</v>
      </c>
      <c r="C257" s="5">
        <v>6</v>
      </c>
      <c r="D257" s="5">
        <v>200</v>
      </c>
      <c r="E257" s="5">
        <v>85</v>
      </c>
      <c r="F257" s="5">
        <v>2965</v>
      </c>
      <c r="G257" s="4">
        <v>15.8</v>
      </c>
      <c r="H257" s="5">
        <v>78</v>
      </c>
      <c r="I257" s="6" t="s">
        <v>12</v>
      </c>
      <c r="J257" s="6" t="s">
        <v>204</v>
      </c>
      <c r="L257">
        <v>20.5</v>
      </c>
      <c r="M257">
        <v>6</v>
      </c>
      <c r="N257">
        <v>225</v>
      </c>
      <c r="O257">
        <v>100</v>
      </c>
      <c r="P257">
        <v>3430</v>
      </c>
      <c r="Q257">
        <v>17.2</v>
      </c>
      <c r="R257">
        <v>78</v>
      </c>
      <c r="S257" t="s">
        <v>12</v>
      </c>
      <c r="T257" t="s">
        <v>206</v>
      </c>
    </row>
    <row r="258" spans="2:20" x14ac:dyDescent="0.3">
      <c r="B258" s="5">
        <v>25.1</v>
      </c>
      <c r="C258" s="5">
        <v>4</v>
      </c>
      <c r="D258" s="5">
        <v>140</v>
      </c>
      <c r="E258" s="5">
        <v>88</v>
      </c>
      <c r="F258" s="5">
        <v>2720</v>
      </c>
      <c r="G258" s="4">
        <v>15.4</v>
      </c>
      <c r="H258" s="5">
        <v>78</v>
      </c>
      <c r="I258" s="6" t="s">
        <v>12</v>
      </c>
      <c r="J258" s="6" t="s">
        <v>205</v>
      </c>
      <c r="L258">
        <v>19.399999999999999</v>
      </c>
      <c r="M258">
        <v>6</v>
      </c>
      <c r="N258">
        <v>232</v>
      </c>
      <c r="O258">
        <v>90</v>
      </c>
      <c r="P258">
        <v>3210</v>
      </c>
      <c r="Q258">
        <v>17.2</v>
      </c>
      <c r="R258">
        <v>78</v>
      </c>
      <c r="S258" t="s">
        <v>12</v>
      </c>
      <c r="T258" t="s">
        <v>207</v>
      </c>
    </row>
    <row r="259" spans="2:20" x14ac:dyDescent="0.3">
      <c r="B259" s="5">
        <v>20.5</v>
      </c>
      <c r="C259" s="5">
        <v>6</v>
      </c>
      <c r="D259" s="5">
        <v>225</v>
      </c>
      <c r="E259" s="5">
        <v>100</v>
      </c>
      <c r="F259" s="5">
        <v>3430</v>
      </c>
      <c r="G259" s="4">
        <v>17.2</v>
      </c>
      <c r="H259" s="5">
        <v>78</v>
      </c>
      <c r="I259" s="6" t="s">
        <v>12</v>
      </c>
      <c r="J259" s="6" t="s">
        <v>206</v>
      </c>
      <c r="L259">
        <v>20.6</v>
      </c>
      <c r="M259">
        <v>6</v>
      </c>
      <c r="N259">
        <v>231</v>
      </c>
      <c r="O259">
        <v>105</v>
      </c>
      <c r="P259">
        <v>3380</v>
      </c>
      <c r="Q259">
        <v>15.8</v>
      </c>
      <c r="R259">
        <v>78</v>
      </c>
      <c r="S259" t="s">
        <v>12</v>
      </c>
      <c r="T259" t="s">
        <v>208</v>
      </c>
    </row>
    <row r="260" spans="2:20" x14ac:dyDescent="0.3">
      <c r="B260" s="5">
        <v>19.399999999999999</v>
      </c>
      <c r="C260" s="5">
        <v>6</v>
      </c>
      <c r="D260" s="5">
        <v>232</v>
      </c>
      <c r="E260" s="5">
        <v>90</v>
      </c>
      <c r="F260" s="5">
        <v>3210</v>
      </c>
      <c r="G260" s="4">
        <v>17.2</v>
      </c>
      <c r="H260" s="5">
        <v>78</v>
      </c>
      <c r="I260" s="6" t="s">
        <v>12</v>
      </c>
      <c r="J260" s="6" t="s">
        <v>207</v>
      </c>
      <c r="L260">
        <v>20.8</v>
      </c>
      <c r="M260">
        <v>6</v>
      </c>
      <c r="N260">
        <v>200</v>
      </c>
      <c r="O260">
        <v>85</v>
      </c>
      <c r="P260">
        <v>3070</v>
      </c>
      <c r="Q260">
        <v>16.7</v>
      </c>
      <c r="R260">
        <v>78</v>
      </c>
      <c r="S260" t="s">
        <v>12</v>
      </c>
      <c r="T260" t="s">
        <v>209</v>
      </c>
    </row>
    <row r="261" spans="2:20" x14ac:dyDescent="0.3">
      <c r="B261" s="5">
        <v>20.6</v>
      </c>
      <c r="C261" s="5">
        <v>6</v>
      </c>
      <c r="D261" s="5">
        <v>231</v>
      </c>
      <c r="E261" s="5">
        <v>105</v>
      </c>
      <c r="F261" s="5">
        <v>3380</v>
      </c>
      <c r="G261" s="4">
        <v>15.8</v>
      </c>
      <c r="H261" s="5">
        <v>78</v>
      </c>
      <c r="I261" s="6" t="s">
        <v>12</v>
      </c>
      <c r="J261" s="6" t="s">
        <v>208</v>
      </c>
      <c r="L261">
        <v>18.600000000000001</v>
      </c>
      <c r="M261">
        <v>6</v>
      </c>
      <c r="N261">
        <v>225</v>
      </c>
      <c r="O261">
        <v>110</v>
      </c>
      <c r="P261">
        <v>3620</v>
      </c>
      <c r="Q261">
        <v>18.7</v>
      </c>
      <c r="R261">
        <v>78</v>
      </c>
      <c r="S261" t="s">
        <v>12</v>
      </c>
      <c r="T261" t="s">
        <v>210</v>
      </c>
    </row>
    <row r="262" spans="2:20" x14ac:dyDescent="0.3">
      <c r="B262" s="5">
        <v>20.8</v>
      </c>
      <c r="C262" s="5">
        <v>6</v>
      </c>
      <c r="D262" s="5">
        <v>200</v>
      </c>
      <c r="E262" s="5">
        <v>85</v>
      </c>
      <c r="F262" s="5">
        <v>3070</v>
      </c>
      <c r="G262" s="4">
        <v>16.7</v>
      </c>
      <c r="H262" s="5">
        <v>78</v>
      </c>
      <c r="I262" s="6" t="s">
        <v>12</v>
      </c>
      <c r="J262" s="6" t="s">
        <v>209</v>
      </c>
      <c r="L262">
        <v>18.100000000000001</v>
      </c>
      <c r="M262">
        <v>6</v>
      </c>
      <c r="N262">
        <v>258</v>
      </c>
      <c r="O262">
        <v>120</v>
      </c>
      <c r="P262">
        <v>3410</v>
      </c>
      <c r="Q262">
        <v>15.1</v>
      </c>
      <c r="R262">
        <v>78</v>
      </c>
      <c r="S262" t="s">
        <v>12</v>
      </c>
      <c r="T262" t="s">
        <v>211</v>
      </c>
    </row>
    <row r="263" spans="2:20" x14ac:dyDescent="0.3">
      <c r="B263" s="5">
        <v>18.600000000000001</v>
      </c>
      <c r="C263" s="5">
        <v>6</v>
      </c>
      <c r="D263" s="5">
        <v>225</v>
      </c>
      <c r="E263" s="5">
        <v>110</v>
      </c>
      <c r="F263" s="5">
        <v>3620</v>
      </c>
      <c r="G263" s="4">
        <v>18.7</v>
      </c>
      <c r="H263" s="5">
        <v>78</v>
      </c>
      <c r="I263" s="6" t="s">
        <v>12</v>
      </c>
      <c r="J263" s="6" t="s">
        <v>210</v>
      </c>
      <c r="L263">
        <v>19.2</v>
      </c>
      <c r="M263">
        <v>8</v>
      </c>
      <c r="N263">
        <v>305</v>
      </c>
      <c r="O263">
        <v>145</v>
      </c>
      <c r="P263">
        <v>3425</v>
      </c>
      <c r="Q263">
        <v>13.2</v>
      </c>
      <c r="R263">
        <v>78</v>
      </c>
      <c r="S263" t="s">
        <v>12</v>
      </c>
      <c r="T263" t="s">
        <v>184</v>
      </c>
    </row>
    <row r="264" spans="2:20" x14ac:dyDescent="0.3">
      <c r="B264" s="5">
        <v>18.100000000000001</v>
      </c>
      <c r="C264" s="5">
        <v>6</v>
      </c>
      <c r="D264" s="5">
        <v>258</v>
      </c>
      <c r="E264" s="5">
        <v>120</v>
      </c>
      <c r="F264" s="5">
        <v>3410</v>
      </c>
      <c r="G264" s="4">
        <v>15.1</v>
      </c>
      <c r="H264" s="5">
        <v>78</v>
      </c>
      <c r="I264" s="6" t="s">
        <v>12</v>
      </c>
      <c r="J264" s="6" t="s">
        <v>211</v>
      </c>
      <c r="L264">
        <v>17.7</v>
      </c>
      <c r="M264">
        <v>6</v>
      </c>
      <c r="N264">
        <v>231</v>
      </c>
      <c r="O264">
        <v>165</v>
      </c>
      <c r="P264">
        <v>3445</v>
      </c>
      <c r="Q264">
        <v>13.4</v>
      </c>
      <c r="R264">
        <v>78</v>
      </c>
      <c r="S264" t="s">
        <v>12</v>
      </c>
      <c r="T264" t="s">
        <v>212</v>
      </c>
    </row>
    <row r="265" spans="2:20" x14ac:dyDescent="0.3">
      <c r="B265" s="5">
        <v>19.2</v>
      </c>
      <c r="C265" s="5">
        <v>8</v>
      </c>
      <c r="D265" s="5">
        <v>305</v>
      </c>
      <c r="E265" s="5">
        <v>145</v>
      </c>
      <c r="F265" s="5">
        <v>3425</v>
      </c>
      <c r="G265" s="4">
        <v>13.2</v>
      </c>
      <c r="H265" s="5">
        <v>78</v>
      </c>
      <c r="I265" s="6" t="s">
        <v>12</v>
      </c>
      <c r="J265" s="6" t="s">
        <v>184</v>
      </c>
      <c r="L265">
        <v>18.100000000000001</v>
      </c>
      <c r="M265">
        <v>8</v>
      </c>
      <c r="N265">
        <v>302</v>
      </c>
      <c r="O265">
        <v>139</v>
      </c>
      <c r="P265">
        <v>3205</v>
      </c>
      <c r="Q265">
        <v>11.2</v>
      </c>
      <c r="R265">
        <v>78</v>
      </c>
      <c r="S265" t="s">
        <v>12</v>
      </c>
      <c r="T265" t="s">
        <v>213</v>
      </c>
    </row>
    <row r="266" spans="2:20" x14ac:dyDescent="0.3">
      <c r="B266" s="5">
        <v>17.7</v>
      </c>
      <c r="C266" s="5">
        <v>6</v>
      </c>
      <c r="D266" s="5">
        <v>231</v>
      </c>
      <c r="E266" s="5">
        <v>165</v>
      </c>
      <c r="F266" s="5">
        <v>3445</v>
      </c>
      <c r="G266" s="4">
        <v>13.4</v>
      </c>
      <c r="H266" s="5">
        <v>78</v>
      </c>
      <c r="I266" s="6" t="s">
        <v>12</v>
      </c>
      <c r="J266" s="6" t="s">
        <v>212</v>
      </c>
      <c r="L266">
        <v>17.5</v>
      </c>
      <c r="M266">
        <v>8</v>
      </c>
      <c r="N266">
        <v>318</v>
      </c>
      <c r="O266">
        <v>140</v>
      </c>
      <c r="P266">
        <v>4080</v>
      </c>
      <c r="Q266">
        <v>13.7</v>
      </c>
      <c r="R266">
        <v>78</v>
      </c>
      <c r="S266" t="s">
        <v>12</v>
      </c>
      <c r="T266" t="s">
        <v>214</v>
      </c>
    </row>
    <row r="267" spans="2:20" x14ac:dyDescent="0.3">
      <c r="B267" s="5">
        <v>18.100000000000001</v>
      </c>
      <c r="C267" s="5">
        <v>8</v>
      </c>
      <c r="D267" s="5">
        <v>302</v>
      </c>
      <c r="E267" s="5">
        <v>139</v>
      </c>
      <c r="F267" s="5">
        <v>3205</v>
      </c>
      <c r="G267" s="4">
        <v>11.2</v>
      </c>
      <c r="H267" s="5">
        <v>78</v>
      </c>
      <c r="I267" s="6" t="s">
        <v>12</v>
      </c>
      <c r="J267" s="6" t="s">
        <v>213</v>
      </c>
      <c r="L267">
        <v>30</v>
      </c>
      <c r="M267">
        <v>4</v>
      </c>
      <c r="N267">
        <v>98</v>
      </c>
      <c r="O267">
        <v>68</v>
      </c>
      <c r="P267">
        <v>2155</v>
      </c>
      <c r="Q267">
        <v>16.5</v>
      </c>
      <c r="R267">
        <v>78</v>
      </c>
      <c r="S267" t="s">
        <v>12</v>
      </c>
      <c r="T267" t="s">
        <v>156</v>
      </c>
    </row>
    <row r="268" spans="2:20" x14ac:dyDescent="0.3">
      <c r="B268" s="5">
        <v>17.5</v>
      </c>
      <c r="C268" s="5">
        <v>8</v>
      </c>
      <c r="D268" s="5">
        <v>318</v>
      </c>
      <c r="E268" s="5">
        <v>140</v>
      </c>
      <c r="F268" s="5">
        <v>4080</v>
      </c>
      <c r="G268" s="4">
        <v>13.7</v>
      </c>
      <c r="H268" s="5">
        <v>78</v>
      </c>
      <c r="I268" s="6" t="s">
        <v>12</v>
      </c>
      <c r="J268" s="6" t="s">
        <v>214</v>
      </c>
      <c r="L268">
        <v>27.5</v>
      </c>
      <c r="M268">
        <v>4</v>
      </c>
      <c r="N268">
        <v>134</v>
      </c>
      <c r="O268">
        <v>95</v>
      </c>
      <c r="P268">
        <v>2560</v>
      </c>
      <c r="Q268">
        <v>14.2</v>
      </c>
      <c r="R268">
        <v>78</v>
      </c>
      <c r="S268" t="s">
        <v>27</v>
      </c>
      <c r="T268" t="s">
        <v>45</v>
      </c>
    </row>
    <row r="269" spans="2:20" x14ac:dyDescent="0.3">
      <c r="B269" s="5">
        <v>30</v>
      </c>
      <c r="C269" s="5">
        <v>4</v>
      </c>
      <c r="D269" s="5">
        <v>98</v>
      </c>
      <c r="E269" s="5">
        <v>68</v>
      </c>
      <c r="F269" s="5">
        <v>2155</v>
      </c>
      <c r="G269" s="4">
        <v>16.5</v>
      </c>
      <c r="H269" s="5">
        <v>78</v>
      </c>
      <c r="I269" s="6" t="s">
        <v>12</v>
      </c>
      <c r="J269" s="6" t="s">
        <v>156</v>
      </c>
      <c r="L269">
        <v>27.2</v>
      </c>
      <c r="M269">
        <v>4</v>
      </c>
      <c r="N269">
        <v>119</v>
      </c>
      <c r="O269">
        <v>97</v>
      </c>
      <c r="P269">
        <v>2300</v>
      </c>
      <c r="Q269">
        <v>14.7</v>
      </c>
      <c r="R269">
        <v>78</v>
      </c>
      <c r="S269" t="s">
        <v>27</v>
      </c>
      <c r="T269" t="s">
        <v>215</v>
      </c>
    </row>
    <row r="270" spans="2:20" x14ac:dyDescent="0.3">
      <c r="B270" s="5">
        <v>27.5</v>
      </c>
      <c r="C270" s="5">
        <v>4</v>
      </c>
      <c r="D270" s="5">
        <v>134</v>
      </c>
      <c r="E270" s="5">
        <v>95</v>
      </c>
      <c r="F270" s="5">
        <v>2560</v>
      </c>
      <c r="G270" s="4">
        <v>14.2</v>
      </c>
      <c r="H270" s="5">
        <v>78</v>
      </c>
      <c r="I270" s="6" t="s">
        <v>27</v>
      </c>
      <c r="J270" s="6" t="s">
        <v>45</v>
      </c>
      <c r="L270">
        <v>30.9</v>
      </c>
      <c r="M270">
        <v>4</v>
      </c>
      <c r="N270">
        <v>105</v>
      </c>
      <c r="O270">
        <v>75</v>
      </c>
      <c r="P270">
        <v>2230</v>
      </c>
      <c r="Q270">
        <v>14.5</v>
      </c>
      <c r="R270">
        <v>78</v>
      </c>
      <c r="S270" t="s">
        <v>12</v>
      </c>
      <c r="T270" t="s">
        <v>216</v>
      </c>
    </row>
    <row r="271" spans="2:20" x14ac:dyDescent="0.3">
      <c r="B271" s="5">
        <v>27.2</v>
      </c>
      <c r="C271" s="5">
        <v>4</v>
      </c>
      <c r="D271" s="5">
        <v>119</v>
      </c>
      <c r="E271" s="5">
        <v>97</v>
      </c>
      <c r="F271" s="5">
        <v>2300</v>
      </c>
      <c r="G271" s="4">
        <v>14.7</v>
      </c>
      <c r="H271" s="5">
        <v>78</v>
      </c>
      <c r="I271" s="6" t="s">
        <v>27</v>
      </c>
      <c r="J271" s="6" t="s">
        <v>215</v>
      </c>
      <c r="L271">
        <v>21.1</v>
      </c>
      <c r="M271">
        <v>4</v>
      </c>
      <c r="N271">
        <v>134</v>
      </c>
      <c r="O271">
        <v>95</v>
      </c>
      <c r="P271">
        <v>2515</v>
      </c>
      <c r="Q271">
        <v>14.8</v>
      </c>
      <c r="R271">
        <v>78</v>
      </c>
      <c r="S271" t="s">
        <v>27</v>
      </c>
      <c r="T271" t="s">
        <v>217</v>
      </c>
    </row>
    <row r="272" spans="2:20" x14ac:dyDescent="0.3">
      <c r="B272" s="5">
        <v>30.9</v>
      </c>
      <c r="C272" s="5">
        <v>4</v>
      </c>
      <c r="D272" s="5">
        <v>105</v>
      </c>
      <c r="E272" s="5">
        <v>75</v>
      </c>
      <c r="F272" s="5">
        <v>2230</v>
      </c>
      <c r="G272" s="4">
        <v>14.5</v>
      </c>
      <c r="H272" s="5">
        <v>78</v>
      </c>
      <c r="I272" s="6" t="s">
        <v>12</v>
      </c>
      <c r="J272" s="6" t="s">
        <v>216</v>
      </c>
      <c r="L272">
        <v>23.2</v>
      </c>
      <c r="M272">
        <v>4</v>
      </c>
      <c r="N272">
        <v>156</v>
      </c>
      <c r="O272">
        <v>105</v>
      </c>
      <c r="P272">
        <v>2745</v>
      </c>
      <c r="Q272">
        <v>16.7</v>
      </c>
      <c r="R272">
        <v>78</v>
      </c>
      <c r="S272" t="s">
        <v>12</v>
      </c>
      <c r="T272" t="s">
        <v>218</v>
      </c>
    </row>
    <row r="273" spans="2:20" x14ac:dyDescent="0.3">
      <c r="B273" s="5">
        <v>21.1</v>
      </c>
      <c r="C273" s="5">
        <v>4</v>
      </c>
      <c r="D273" s="5">
        <v>134</v>
      </c>
      <c r="E273" s="5">
        <v>95</v>
      </c>
      <c r="F273" s="5">
        <v>2515</v>
      </c>
      <c r="G273" s="4">
        <v>14.8</v>
      </c>
      <c r="H273" s="5">
        <v>78</v>
      </c>
      <c r="I273" s="6" t="s">
        <v>27</v>
      </c>
      <c r="J273" s="6" t="s">
        <v>217</v>
      </c>
      <c r="L273">
        <v>23.8</v>
      </c>
      <c r="M273">
        <v>4</v>
      </c>
      <c r="N273">
        <v>151</v>
      </c>
      <c r="O273">
        <v>85</v>
      </c>
      <c r="P273">
        <v>2855</v>
      </c>
      <c r="Q273">
        <v>17.600000000000001</v>
      </c>
      <c r="R273">
        <v>78</v>
      </c>
      <c r="S273" t="s">
        <v>12</v>
      </c>
      <c r="T273" t="s">
        <v>219</v>
      </c>
    </row>
    <row r="274" spans="2:20" x14ac:dyDescent="0.3">
      <c r="B274" s="5">
        <v>23.2</v>
      </c>
      <c r="C274" s="5">
        <v>4</v>
      </c>
      <c r="D274" s="5">
        <v>156</v>
      </c>
      <c r="E274" s="5">
        <v>105</v>
      </c>
      <c r="F274" s="5">
        <v>2745</v>
      </c>
      <c r="G274" s="4">
        <v>16.7</v>
      </c>
      <c r="H274" s="5">
        <v>78</v>
      </c>
      <c r="I274" s="6" t="s">
        <v>12</v>
      </c>
      <c r="J274" s="6" t="s">
        <v>218</v>
      </c>
      <c r="L274">
        <v>23.9</v>
      </c>
      <c r="M274">
        <v>4</v>
      </c>
      <c r="N274">
        <v>119</v>
      </c>
      <c r="O274">
        <v>97</v>
      </c>
      <c r="P274">
        <v>2405</v>
      </c>
      <c r="Q274">
        <v>14.9</v>
      </c>
      <c r="R274">
        <v>78</v>
      </c>
      <c r="S274" t="s">
        <v>27</v>
      </c>
      <c r="T274" t="s">
        <v>220</v>
      </c>
    </row>
    <row r="275" spans="2:20" x14ac:dyDescent="0.3">
      <c r="B275" s="5">
        <v>23.8</v>
      </c>
      <c r="C275" s="5">
        <v>4</v>
      </c>
      <c r="D275" s="5">
        <v>151</v>
      </c>
      <c r="E275" s="5">
        <v>85</v>
      </c>
      <c r="F275" s="5">
        <v>2855</v>
      </c>
      <c r="G275" s="4">
        <v>17.600000000000001</v>
      </c>
      <c r="H275" s="5">
        <v>78</v>
      </c>
      <c r="I275" s="6" t="s">
        <v>12</v>
      </c>
      <c r="J275" s="6" t="s">
        <v>219</v>
      </c>
      <c r="L275">
        <v>20.3</v>
      </c>
      <c r="M275">
        <v>5</v>
      </c>
      <c r="N275">
        <v>131</v>
      </c>
      <c r="O275">
        <v>103</v>
      </c>
      <c r="P275">
        <v>2830</v>
      </c>
      <c r="Q275">
        <v>15.9</v>
      </c>
      <c r="R275">
        <v>78</v>
      </c>
      <c r="S275" t="s">
        <v>33</v>
      </c>
      <c r="T275" t="s">
        <v>221</v>
      </c>
    </row>
    <row r="276" spans="2:20" x14ac:dyDescent="0.3">
      <c r="B276" s="5">
        <v>23.9</v>
      </c>
      <c r="C276" s="5">
        <v>4</v>
      </c>
      <c r="D276" s="5">
        <v>119</v>
      </c>
      <c r="E276" s="5">
        <v>97</v>
      </c>
      <c r="F276" s="5">
        <v>2405</v>
      </c>
      <c r="G276" s="4">
        <v>14.9</v>
      </c>
      <c r="H276" s="5">
        <v>78</v>
      </c>
      <c r="I276" s="6" t="s">
        <v>27</v>
      </c>
      <c r="J276" s="6" t="s">
        <v>220</v>
      </c>
      <c r="L276">
        <v>17</v>
      </c>
      <c r="M276">
        <v>6</v>
      </c>
      <c r="N276">
        <v>163</v>
      </c>
      <c r="O276">
        <v>125</v>
      </c>
      <c r="P276">
        <v>3140</v>
      </c>
      <c r="Q276">
        <v>13.6</v>
      </c>
      <c r="R276">
        <v>78</v>
      </c>
      <c r="S276" t="s">
        <v>33</v>
      </c>
      <c r="T276" t="s">
        <v>222</v>
      </c>
    </row>
    <row r="277" spans="2:20" x14ac:dyDescent="0.3">
      <c r="B277" s="5">
        <v>20.3</v>
      </c>
      <c r="C277" s="5">
        <v>5</v>
      </c>
      <c r="D277" s="5">
        <v>131</v>
      </c>
      <c r="E277" s="5">
        <v>103</v>
      </c>
      <c r="F277" s="5">
        <v>2830</v>
      </c>
      <c r="G277" s="4">
        <v>15.9</v>
      </c>
      <c r="H277" s="5">
        <v>78</v>
      </c>
      <c r="I277" s="6" t="s">
        <v>33</v>
      </c>
      <c r="J277" s="6" t="s">
        <v>221</v>
      </c>
      <c r="L277">
        <v>21.6</v>
      </c>
      <c r="M277">
        <v>4</v>
      </c>
      <c r="N277">
        <v>121</v>
      </c>
      <c r="O277">
        <v>115</v>
      </c>
      <c r="P277">
        <v>2795</v>
      </c>
      <c r="Q277">
        <v>15.7</v>
      </c>
      <c r="R277">
        <v>78</v>
      </c>
      <c r="S277" t="s">
        <v>33</v>
      </c>
      <c r="T277" t="s">
        <v>223</v>
      </c>
    </row>
    <row r="278" spans="2:20" x14ac:dyDescent="0.3">
      <c r="B278" s="5">
        <v>17</v>
      </c>
      <c r="C278" s="5">
        <v>6</v>
      </c>
      <c r="D278" s="5">
        <v>163</v>
      </c>
      <c r="E278" s="5">
        <v>125</v>
      </c>
      <c r="F278" s="5">
        <v>3140</v>
      </c>
      <c r="G278" s="4">
        <v>13.6</v>
      </c>
      <c r="H278" s="5">
        <v>78</v>
      </c>
      <c r="I278" s="6" t="s">
        <v>33</v>
      </c>
      <c r="J278" s="6" t="s">
        <v>222</v>
      </c>
      <c r="L278">
        <v>16.2</v>
      </c>
      <c r="M278">
        <v>6</v>
      </c>
      <c r="N278">
        <v>163</v>
      </c>
      <c r="O278">
        <v>133</v>
      </c>
      <c r="P278">
        <v>3410</v>
      </c>
      <c r="Q278">
        <v>15.8</v>
      </c>
      <c r="R278">
        <v>78</v>
      </c>
      <c r="S278" t="s">
        <v>33</v>
      </c>
      <c r="T278" t="s">
        <v>224</v>
      </c>
    </row>
    <row r="279" spans="2:20" x14ac:dyDescent="0.3">
      <c r="B279" s="5">
        <v>21.6</v>
      </c>
      <c r="C279" s="5">
        <v>4</v>
      </c>
      <c r="D279" s="5">
        <v>121</v>
      </c>
      <c r="E279" s="5">
        <v>115</v>
      </c>
      <c r="F279" s="5">
        <v>2795</v>
      </c>
      <c r="G279" s="4">
        <v>15.7</v>
      </c>
      <c r="H279" s="5">
        <v>78</v>
      </c>
      <c r="I279" s="6" t="s">
        <v>33</v>
      </c>
      <c r="J279" s="6" t="s">
        <v>223</v>
      </c>
      <c r="L279">
        <v>31.5</v>
      </c>
      <c r="M279">
        <v>4</v>
      </c>
      <c r="N279">
        <v>89</v>
      </c>
      <c r="O279">
        <v>71</v>
      </c>
      <c r="P279">
        <v>1990</v>
      </c>
      <c r="Q279">
        <v>14.9</v>
      </c>
      <c r="R279">
        <v>78</v>
      </c>
      <c r="S279" t="s">
        <v>33</v>
      </c>
      <c r="T279" t="s">
        <v>225</v>
      </c>
    </row>
    <row r="280" spans="2:20" x14ac:dyDescent="0.3">
      <c r="B280" s="5">
        <v>16.2</v>
      </c>
      <c r="C280" s="5">
        <v>6</v>
      </c>
      <c r="D280" s="5">
        <v>163</v>
      </c>
      <c r="E280" s="5">
        <v>133</v>
      </c>
      <c r="F280" s="5">
        <v>3410</v>
      </c>
      <c r="G280" s="4">
        <v>15.8</v>
      </c>
      <c r="H280" s="5">
        <v>78</v>
      </c>
      <c r="I280" s="6" t="s">
        <v>33</v>
      </c>
      <c r="J280" s="6" t="s">
        <v>224</v>
      </c>
      <c r="L280">
        <v>29.5</v>
      </c>
      <c r="M280">
        <v>4</v>
      </c>
      <c r="N280">
        <v>98</v>
      </c>
      <c r="O280">
        <v>68</v>
      </c>
      <c r="P280">
        <v>2135</v>
      </c>
      <c r="Q280">
        <v>16.600000000000001</v>
      </c>
      <c r="R280">
        <v>78</v>
      </c>
      <c r="S280" t="s">
        <v>27</v>
      </c>
      <c r="T280" t="s">
        <v>226</v>
      </c>
    </row>
    <row r="281" spans="2:20" x14ac:dyDescent="0.3">
      <c r="B281" s="5">
        <v>31.5</v>
      </c>
      <c r="C281" s="5">
        <v>4</v>
      </c>
      <c r="D281" s="5">
        <v>89</v>
      </c>
      <c r="E281" s="5">
        <v>71</v>
      </c>
      <c r="F281" s="5">
        <v>1990</v>
      </c>
      <c r="G281" s="4">
        <v>14.9</v>
      </c>
      <c r="H281" s="5">
        <v>78</v>
      </c>
      <c r="I281" s="6" t="s">
        <v>33</v>
      </c>
      <c r="J281" s="6" t="s">
        <v>225</v>
      </c>
      <c r="L281">
        <v>21.5</v>
      </c>
      <c r="M281">
        <v>6</v>
      </c>
      <c r="N281">
        <v>231</v>
      </c>
      <c r="O281">
        <v>115</v>
      </c>
      <c r="P281">
        <v>3245</v>
      </c>
      <c r="Q281">
        <v>15.4</v>
      </c>
      <c r="R281">
        <v>79</v>
      </c>
      <c r="S281" t="s">
        <v>12</v>
      </c>
      <c r="T281" t="s">
        <v>227</v>
      </c>
    </row>
    <row r="282" spans="2:20" x14ac:dyDescent="0.3">
      <c r="B282" s="5">
        <v>29.5</v>
      </c>
      <c r="C282" s="5">
        <v>4</v>
      </c>
      <c r="D282" s="5">
        <v>98</v>
      </c>
      <c r="E282" s="5">
        <v>68</v>
      </c>
      <c r="F282" s="5">
        <v>2135</v>
      </c>
      <c r="G282" s="4">
        <v>16.600000000000001</v>
      </c>
      <c r="H282" s="5">
        <v>78</v>
      </c>
      <c r="I282" s="6" t="s">
        <v>27</v>
      </c>
      <c r="J282" s="6" t="s">
        <v>226</v>
      </c>
      <c r="L282">
        <v>19.8</v>
      </c>
      <c r="M282">
        <v>6</v>
      </c>
      <c r="N282">
        <v>200</v>
      </c>
      <c r="O282">
        <v>85</v>
      </c>
      <c r="P282">
        <v>2990</v>
      </c>
      <c r="Q282">
        <v>18.2</v>
      </c>
      <c r="R282">
        <v>79</v>
      </c>
      <c r="S282" t="s">
        <v>12</v>
      </c>
      <c r="T282" t="s">
        <v>228</v>
      </c>
    </row>
    <row r="283" spans="2:20" x14ac:dyDescent="0.3">
      <c r="B283" s="5">
        <v>21.5</v>
      </c>
      <c r="C283" s="5">
        <v>6</v>
      </c>
      <c r="D283" s="5">
        <v>231</v>
      </c>
      <c r="E283" s="5">
        <v>115</v>
      </c>
      <c r="F283" s="5">
        <v>3245</v>
      </c>
      <c r="G283" s="4">
        <v>15.4</v>
      </c>
      <c r="H283" s="5">
        <v>79</v>
      </c>
      <c r="I283" s="6" t="s">
        <v>12</v>
      </c>
      <c r="J283" s="6" t="s">
        <v>227</v>
      </c>
      <c r="L283">
        <v>22.3</v>
      </c>
      <c r="M283">
        <v>4</v>
      </c>
      <c r="N283">
        <v>140</v>
      </c>
      <c r="O283">
        <v>88</v>
      </c>
      <c r="P283">
        <v>2890</v>
      </c>
      <c r="Q283">
        <v>17.3</v>
      </c>
      <c r="R283">
        <v>79</v>
      </c>
      <c r="S283" t="s">
        <v>12</v>
      </c>
      <c r="T283" t="s">
        <v>229</v>
      </c>
    </row>
    <row r="284" spans="2:20" x14ac:dyDescent="0.3">
      <c r="B284" s="5">
        <v>19.8</v>
      </c>
      <c r="C284" s="5">
        <v>6</v>
      </c>
      <c r="D284" s="5">
        <v>200</v>
      </c>
      <c r="E284" s="5">
        <v>85</v>
      </c>
      <c r="F284" s="5">
        <v>2990</v>
      </c>
      <c r="G284" s="4">
        <v>18.2</v>
      </c>
      <c r="H284" s="5">
        <v>79</v>
      </c>
      <c r="I284" s="6" t="s">
        <v>12</v>
      </c>
      <c r="J284" s="6" t="s">
        <v>228</v>
      </c>
      <c r="L284">
        <v>20.2</v>
      </c>
      <c r="M284">
        <v>6</v>
      </c>
      <c r="N284">
        <v>232</v>
      </c>
      <c r="O284">
        <v>90</v>
      </c>
      <c r="P284">
        <v>3265</v>
      </c>
      <c r="Q284">
        <v>18.2</v>
      </c>
      <c r="R284">
        <v>79</v>
      </c>
      <c r="S284" t="s">
        <v>12</v>
      </c>
      <c r="T284" t="s">
        <v>230</v>
      </c>
    </row>
    <row r="285" spans="2:20" x14ac:dyDescent="0.3">
      <c r="B285" s="5">
        <v>22.3</v>
      </c>
      <c r="C285" s="5">
        <v>4</v>
      </c>
      <c r="D285" s="5">
        <v>140</v>
      </c>
      <c r="E285" s="5">
        <v>88</v>
      </c>
      <c r="F285" s="5">
        <v>2890</v>
      </c>
      <c r="G285" s="4">
        <v>17.3</v>
      </c>
      <c r="H285" s="5">
        <v>79</v>
      </c>
      <c r="I285" s="6" t="s">
        <v>12</v>
      </c>
      <c r="J285" s="6" t="s">
        <v>229</v>
      </c>
      <c r="L285">
        <v>20.6</v>
      </c>
      <c r="M285">
        <v>6</v>
      </c>
      <c r="N285">
        <v>225</v>
      </c>
      <c r="O285">
        <v>110</v>
      </c>
      <c r="P285">
        <v>3360</v>
      </c>
      <c r="Q285">
        <v>16.600000000000001</v>
      </c>
      <c r="R285">
        <v>79</v>
      </c>
      <c r="S285" t="s">
        <v>12</v>
      </c>
      <c r="T285" t="s">
        <v>231</v>
      </c>
    </row>
    <row r="286" spans="2:20" x14ac:dyDescent="0.3">
      <c r="B286" s="5">
        <v>20.2</v>
      </c>
      <c r="C286" s="5">
        <v>6</v>
      </c>
      <c r="D286" s="5">
        <v>232</v>
      </c>
      <c r="E286" s="5">
        <v>90</v>
      </c>
      <c r="F286" s="5">
        <v>3265</v>
      </c>
      <c r="G286" s="4">
        <v>18.2</v>
      </c>
      <c r="H286" s="5">
        <v>79</v>
      </c>
      <c r="I286" s="6" t="s">
        <v>12</v>
      </c>
      <c r="J286" s="6" t="s">
        <v>230</v>
      </c>
      <c r="L286">
        <v>17</v>
      </c>
      <c r="M286">
        <v>8</v>
      </c>
      <c r="N286">
        <v>305</v>
      </c>
      <c r="O286">
        <v>130</v>
      </c>
      <c r="P286">
        <v>3840</v>
      </c>
      <c r="Q286">
        <v>15.4</v>
      </c>
      <c r="R286">
        <v>79</v>
      </c>
      <c r="S286" t="s">
        <v>12</v>
      </c>
      <c r="T286" t="s">
        <v>95</v>
      </c>
    </row>
    <row r="287" spans="2:20" x14ac:dyDescent="0.3">
      <c r="B287" s="5">
        <v>20.6</v>
      </c>
      <c r="C287" s="5">
        <v>6</v>
      </c>
      <c r="D287" s="5">
        <v>225</v>
      </c>
      <c r="E287" s="5">
        <v>110</v>
      </c>
      <c r="F287" s="5">
        <v>3360</v>
      </c>
      <c r="G287" s="4">
        <v>16.600000000000001</v>
      </c>
      <c r="H287" s="5">
        <v>79</v>
      </c>
      <c r="I287" s="6" t="s">
        <v>12</v>
      </c>
      <c r="J287" s="6" t="s">
        <v>231</v>
      </c>
      <c r="L287">
        <v>17.600000000000001</v>
      </c>
      <c r="M287">
        <v>8</v>
      </c>
      <c r="N287">
        <v>302</v>
      </c>
      <c r="O287">
        <v>129</v>
      </c>
      <c r="P287">
        <v>3725</v>
      </c>
      <c r="Q287">
        <v>13.4</v>
      </c>
      <c r="R287">
        <v>79</v>
      </c>
      <c r="S287" t="s">
        <v>12</v>
      </c>
      <c r="T287" t="s">
        <v>232</v>
      </c>
    </row>
    <row r="288" spans="2:20" x14ac:dyDescent="0.3">
      <c r="B288" s="5">
        <v>17</v>
      </c>
      <c r="C288" s="5">
        <v>8</v>
      </c>
      <c r="D288" s="5">
        <v>305</v>
      </c>
      <c r="E288" s="5">
        <v>130</v>
      </c>
      <c r="F288" s="5">
        <v>3840</v>
      </c>
      <c r="G288" s="4">
        <v>15.4</v>
      </c>
      <c r="H288" s="5">
        <v>79</v>
      </c>
      <c r="I288" s="6" t="s">
        <v>12</v>
      </c>
      <c r="J288" s="6" t="s">
        <v>95</v>
      </c>
      <c r="L288">
        <v>16.5</v>
      </c>
      <c r="M288">
        <v>8</v>
      </c>
      <c r="N288">
        <v>351</v>
      </c>
      <c r="O288">
        <v>138</v>
      </c>
      <c r="P288">
        <v>3955</v>
      </c>
      <c r="Q288">
        <v>13.2</v>
      </c>
      <c r="R288">
        <v>79</v>
      </c>
      <c r="S288" t="s">
        <v>12</v>
      </c>
      <c r="T288" t="s">
        <v>233</v>
      </c>
    </row>
    <row r="289" spans="2:20" x14ac:dyDescent="0.3">
      <c r="B289" s="5">
        <v>17.600000000000001</v>
      </c>
      <c r="C289" s="5">
        <v>8</v>
      </c>
      <c r="D289" s="5">
        <v>302</v>
      </c>
      <c r="E289" s="5">
        <v>129</v>
      </c>
      <c r="F289" s="5">
        <v>3725</v>
      </c>
      <c r="G289" s="4">
        <v>13.4</v>
      </c>
      <c r="H289" s="5">
        <v>79</v>
      </c>
      <c r="I289" s="6" t="s">
        <v>12</v>
      </c>
      <c r="J289" s="6" t="s">
        <v>232</v>
      </c>
      <c r="L289">
        <v>18.2</v>
      </c>
      <c r="M289">
        <v>8</v>
      </c>
      <c r="N289">
        <v>318</v>
      </c>
      <c r="O289">
        <v>135</v>
      </c>
      <c r="P289">
        <v>3830</v>
      </c>
      <c r="Q289">
        <v>15.2</v>
      </c>
      <c r="R289">
        <v>79</v>
      </c>
      <c r="S289" t="s">
        <v>12</v>
      </c>
      <c r="T289" t="s">
        <v>234</v>
      </c>
    </row>
    <row r="290" spans="2:20" x14ac:dyDescent="0.3">
      <c r="B290" s="5">
        <v>16.5</v>
      </c>
      <c r="C290" s="5">
        <v>8</v>
      </c>
      <c r="D290" s="5">
        <v>351</v>
      </c>
      <c r="E290" s="5">
        <v>138</v>
      </c>
      <c r="F290" s="5">
        <v>3955</v>
      </c>
      <c r="G290" s="4">
        <v>13.2</v>
      </c>
      <c r="H290" s="5">
        <v>79</v>
      </c>
      <c r="I290" s="6" t="s">
        <v>12</v>
      </c>
      <c r="J290" s="6" t="s">
        <v>233</v>
      </c>
      <c r="L290">
        <v>16.899999999999999</v>
      </c>
      <c r="M290">
        <v>8</v>
      </c>
      <c r="N290">
        <v>350</v>
      </c>
      <c r="O290">
        <v>155</v>
      </c>
      <c r="P290">
        <v>4360</v>
      </c>
      <c r="Q290">
        <v>14.9</v>
      </c>
      <c r="R290">
        <v>79</v>
      </c>
      <c r="S290" t="s">
        <v>12</v>
      </c>
      <c r="T290" t="s">
        <v>26</v>
      </c>
    </row>
    <row r="291" spans="2:20" x14ac:dyDescent="0.3">
      <c r="B291" s="5">
        <v>18.2</v>
      </c>
      <c r="C291" s="5">
        <v>8</v>
      </c>
      <c r="D291" s="5">
        <v>318</v>
      </c>
      <c r="E291" s="5">
        <v>135</v>
      </c>
      <c r="F291" s="5">
        <v>3830</v>
      </c>
      <c r="G291" s="4">
        <v>15.2</v>
      </c>
      <c r="H291" s="5">
        <v>79</v>
      </c>
      <c r="I291" s="6" t="s">
        <v>12</v>
      </c>
      <c r="J291" s="6" t="s">
        <v>234</v>
      </c>
      <c r="L291">
        <v>15.5</v>
      </c>
      <c r="M291">
        <v>8</v>
      </c>
      <c r="N291">
        <v>351</v>
      </c>
      <c r="O291">
        <v>142</v>
      </c>
      <c r="P291">
        <v>4054</v>
      </c>
      <c r="Q291">
        <v>14.3</v>
      </c>
      <c r="R291">
        <v>79</v>
      </c>
      <c r="S291" t="s">
        <v>12</v>
      </c>
      <c r="T291" t="s">
        <v>52</v>
      </c>
    </row>
    <row r="292" spans="2:20" x14ac:dyDescent="0.3">
      <c r="B292" s="5">
        <v>16.899999999999999</v>
      </c>
      <c r="C292" s="5">
        <v>8</v>
      </c>
      <c r="D292" s="5">
        <v>350</v>
      </c>
      <c r="E292" s="5">
        <v>155</v>
      </c>
      <c r="F292" s="5">
        <v>4360</v>
      </c>
      <c r="G292" s="4">
        <v>14.9</v>
      </c>
      <c r="H292" s="5">
        <v>79</v>
      </c>
      <c r="I292" s="6" t="s">
        <v>12</v>
      </c>
      <c r="J292" s="6" t="s">
        <v>26</v>
      </c>
      <c r="L292">
        <v>19.2</v>
      </c>
      <c r="M292">
        <v>8</v>
      </c>
      <c r="N292">
        <v>267</v>
      </c>
      <c r="O292">
        <v>125</v>
      </c>
      <c r="P292">
        <v>3605</v>
      </c>
      <c r="Q292">
        <v>15</v>
      </c>
      <c r="R292">
        <v>79</v>
      </c>
      <c r="S292" t="s">
        <v>12</v>
      </c>
      <c r="T292" t="s">
        <v>235</v>
      </c>
    </row>
    <row r="293" spans="2:20" x14ac:dyDescent="0.3">
      <c r="B293" s="5">
        <v>15.5</v>
      </c>
      <c r="C293" s="5">
        <v>8</v>
      </c>
      <c r="D293" s="5">
        <v>351</v>
      </c>
      <c r="E293" s="5">
        <v>142</v>
      </c>
      <c r="F293" s="5">
        <v>4054</v>
      </c>
      <c r="G293" s="4">
        <v>14.3</v>
      </c>
      <c r="H293" s="5">
        <v>79</v>
      </c>
      <c r="I293" s="6" t="s">
        <v>12</v>
      </c>
      <c r="J293" s="6" t="s">
        <v>52</v>
      </c>
      <c r="L293">
        <v>18.5</v>
      </c>
      <c r="M293">
        <v>8</v>
      </c>
      <c r="N293">
        <v>360</v>
      </c>
      <c r="O293">
        <v>150</v>
      </c>
      <c r="P293">
        <v>3940</v>
      </c>
      <c r="Q293">
        <v>13</v>
      </c>
      <c r="R293">
        <v>79</v>
      </c>
      <c r="S293" t="s">
        <v>12</v>
      </c>
      <c r="T293" t="s">
        <v>236</v>
      </c>
    </row>
    <row r="294" spans="2:20" x14ac:dyDescent="0.3">
      <c r="B294" s="5">
        <v>19.2</v>
      </c>
      <c r="C294" s="5">
        <v>8</v>
      </c>
      <c r="D294" s="5">
        <v>267</v>
      </c>
      <c r="E294" s="5">
        <v>125</v>
      </c>
      <c r="F294" s="5">
        <v>3605</v>
      </c>
      <c r="G294" s="4">
        <v>15</v>
      </c>
      <c r="H294" s="5">
        <v>79</v>
      </c>
      <c r="I294" s="6" t="s">
        <v>12</v>
      </c>
      <c r="J294" s="6" t="s">
        <v>235</v>
      </c>
      <c r="L294">
        <v>31.9</v>
      </c>
      <c r="M294">
        <v>4</v>
      </c>
      <c r="N294">
        <v>89</v>
      </c>
      <c r="O294">
        <v>71</v>
      </c>
      <c r="P294">
        <v>1925</v>
      </c>
      <c r="Q294">
        <v>14</v>
      </c>
      <c r="R294">
        <v>79</v>
      </c>
      <c r="S294" t="s">
        <v>33</v>
      </c>
      <c r="T294" t="s">
        <v>237</v>
      </c>
    </row>
    <row r="295" spans="2:20" x14ac:dyDescent="0.3">
      <c r="B295" s="5">
        <v>18.5</v>
      </c>
      <c r="C295" s="5">
        <v>8</v>
      </c>
      <c r="D295" s="5">
        <v>360</v>
      </c>
      <c r="E295" s="5">
        <v>150</v>
      </c>
      <c r="F295" s="5">
        <v>3940</v>
      </c>
      <c r="G295" s="4">
        <v>13</v>
      </c>
      <c r="H295" s="5">
        <v>79</v>
      </c>
      <c r="I295" s="6" t="s">
        <v>12</v>
      </c>
      <c r="J295" s="6" t="s">
        <v>236</v>
      </c>
      <c r="L295">
        <v>34.1</v>
      </c>
      <c r="M295">
        <v>4</v>
      </c>
      <c r="N295">
        <v>86</v>
      </c>
      <c r="O295">
        <v>65</v>
      </c>
      <c r="P295">
        <v>1975</v>
      </c>
      <c r="Q295">
        <v>15.2</v>
      </c>
      <c r="R295">
        <v>79</v>
      </c>
      <c r="S295" t="s">
        <v>27</v>
      </c>
      <c r="T295" t="s">
        <v>238</v>
      </c>
    </row>
    <row r="296" spans="2:20" x14ac:dyDescent="0.3">
      <c r="B296" s="5">
        <v>31.9</v>
      </c>
      <c r="C296" s="5">
        <v>4</v>
      </c>
      <c r="D296" s="5">
        <v>89</v>
      </c>
      <c r="E296" s="5">
        <v>71</v>
      </c>
      <c r="F296" s="5">
        <v>1925</v>
      </c>
      <c r="G296" s="4">
        <v>14</v>
      </c>
      <c r="H296" s="5">
        <v>79</v>
      </c>
      <c r="I296" s="6" t="s">
        <v>33</v>
      </c>
      <c r="J296" s="6" t="s">
        <v>237</v>
      </c>
      <c r="L296">
        <v>35.700000000000003</v>
      </c>
      <c r="M296">
        <v>4</v>
      </c>
      <c r="N296">
        <v>98</v>
      </c>
      <c r="O296">
        <v>80</v>
      </c>
      <c r="P296">
        <v>1915</v>
      </c>
      <c r="Q296">
        <v>14.4</v>
      </c>
      <c r="R296">
        <v>79</v>
      </c>
      <c r="S296" t="s">
        <v>12</v>
      </c>
      <c r="T296" t="s">
        <v>239</v>
      </c>
    </row>
    <row r="297" spans="2:20" x14ac:dyDescent="0.3">
      <c r="B297" s="5">
        <v>34.1</v>
      </c>
      <c r="C297" s="5">
        <v>4</v>
      </c>
      <c r="D297" s="5">
        <v>86</v>
      </c>
      <c r="E297" s="5">
        <v>65</v>
      </c>
      <c r="F297" s="5">
        <v>1975</v>
      </c>
      <c r="G297" s="4">
        <v>15.2</v>
      </c>
      <c r="H297" s="5">
        <v>79</v>
      </c>
      <c r="I297" s="6" t="s">
        <v>27</v>
      </c>
      <c r="J297" s="6" t="s">
        <v>238</v>
      </c>
      <c r="L297">
        <v>27.4</v>
      </c>
      <c r="M297">
        <v>4</v>
      </c>
      <c r="N297">
        <v>121</v>
      </c>
      <c r="O297">
        <v>80</v>
      </c>
      <c r="P297">
        <v>2670</v>
      </c>
      <c r="Q297">
        <v>15</v>
      </c>
      <c r="R297">
        <v>79</v>
      </c>
      <c r="S297" t="s">
        <v>12</v>
      </c>
      <c r="T297" t="s">
        <v>240</v>
      </c>
    </row>
    <row r="298" spans="2:20" x14ac:dyDescent="0.3">
      <c r="B298" s="5">
        <v>35.700000000000003</v>
      </c>
      <c r="C298" s="5">
        <v>4</v>
      </c>
      <c r="D298" s="5">
        <v>98</v>
      </c>
      <c r="E298" s="5">
        <v>80</v>
      </c>
      <c r="F298" s="5">
        <v>1915</v>
      </c>
      <c r="G298" s="4">
        <v>14.4</v>
      </c>
      <c r="H298" s="5">
        <v>79</v>
      </c>
      <c r="I298" s="6" t="s">
        <v>12</v>
      </c>
      <c r="J298" s="6" t="s">
        <v>239</v>
      </c>
      <c r="L298">
        <v>25.4</v>
      </c>
      <c r="M298">
        <v>5</v>
      </c>
      <c r="N298">
        <v>183</v>
      </c>
      <c r="O298">
        <v>77</v>
      </c>
      <c r="P298">
        <v>3530</v>
      </c>
      <c r="Q298">
        <v>20.100000000000001</v>
      </c>
      <c r="R298">
        <v>79</v>
      </c>
      <c r="S298" t="s">
        <v>33</v>
      </c>
      <c r="T298" t="s">
        <v>241</v>
      </c>
    </row>
    <row r="299" spans="2:20" x14ac:dyDescent="0.3">
      <c r="B299" s="5">
        <v>27.4</v>
      </c>
      <c r="C299" s="5">
        <v>4</v>
      </c>
      <c r="D299" s="5">
        <v>121</v>
      </c>
      <c r="E299" s="5">
        <v>80</v>
      </c>
      <c r="F299" s="5">
        <v>2670</v>
      </c>
      <c r="G299" s="4">
        <v>15</v>
      </c>
      <c r="H299" s="5">
        <v>79</v>
      </c>
      <c r="I299" s="6" t="s">
        <v>12</v>
      </c>
      <c r="J299" s="6" t="s">
        <v>240</v>
      </c>
      <c r="L299">
        <v>23</v>
      </c>
      <c r="M299">
        <v>8</v>
      </c>
      <c r="N299">
        <v>350</v>
      </c>
      <c r="O299">
        <v>125</v>
      </c>
      <c r="P299">
        <v>3900</v>
      </c>
      <c r="Q299">
        <v>17.399999999999999</v>
      </c>
      <c r="R299">
        <v>79</v>
      </c>
      <c r="S299" t="s">
        <v>12</v>
      </c>
      <c r="T299" t="s">
        <v>242</v>
      </c>
    </row>
    <row r="300" spans="2:20" x14ac:dyDescent="0.3">
      <c r="B300" s="5">
        <v>25.4</v>
      </c>
      <c r="C300" s="5">
        <v>5</v>
      </c>
      <c r="D300" s="5">
        <v>183</v>
      </c>
      <c r="E300" s="5">
        <v>77</v>
      </c>
      <c r="F300" s="5">
        <v>3530</v>
      </c>
      <c r="G300" s="4">
        <v>20.100000000000001</v>
      </c>
      <c r="H300" s="5">
        <v>79</v>
      </c>
      <c r="I300" s="6" t="s">
        <v>33</v>
      </c>
      <c r="J300" s="6" t="s">
        <v>241</v>
      </c>
      <c r="L300">
        <v>27.2</v>
      </c>
      <c r="M300">
        <v>4</v>
      </c>
      <c r="N300">
        <v>141</v>
      </c>
      <c r="O300">
        <v>71</v>
      </c>
      <c r="P300">
        <v>3190</v>
      </c>
      <c r="Q300">
        <v>24.8</v>
      </c>
      <c r="R300">
        <v>79</v>
      </c>
      <c r="S300" t="s">
        <v>33</v>
      </c>
      <c r="T300" t="s">
        <v>35</v>
      </c>
    </row>
    <row r="301" spans="2:20" x14ac:dyDescent="0.3">
      <c r="B301" s="5">
        <v>23</v>
      </c>
      <c r="C301" s="5">
        <v>8</v>
      </c>
      <c r="D301" s="5">
        <v>350</v>
      </c>
      <c r="E301" s="5">
        <v>125</v>
      </c>
      <c r="F301" s="5">
        <v>3900</v>
      </c>
      <c r="G301" s="4">
        <v>17.399999999999999</v>
      </c>
      <c r="H301" s="5">
        <v>79</v>
      </c>
      <c r="I301" s="6" t="s">
        <v>12</v>
      </c>
      <c r="J301" s="6" t="s">
        <v>242</v>
      </c>
      <c r="L301">
        <v>23.9</v>
      </c>
      <c r="M301">
        <v>8</v>
      </c>
      <c r="N301">
        <v>260</v>
      </c>
      <c r="O301">
        <v>90</v>
      </c>
      <c r="P301">
        <v>3420</v>
      </c>
      <c r="Q301">
        <v>22.2</v>
      </c>
      <c r="R301">
        <v>79</v>
      </c>
      <c r="S301" t="s">
        <v>12</v>
      </c>
      <c r="T301" t="s">
        <v>200</v>
      </c>
    </row>
    <row r="302" spans="2:20" x14ac:dyDescent="0.3">
      <c r="B302" s="5">
        <v>27.2</v>
      </c>
      <c r="C302" s="5">
        <v>4</v>
      </c>
      <c r="D302" s="5">
        <v>141</v>
      </c>
      <c r="E302" s="5">
        <v>71</v>
      </c>
      <c r="F302" s="5">
        <v>3190</v>
      </c>
      <c r="G302" s="4">
        <v>24.8</v>
      </c>
      <c r="H302" s="5">
        <v>79</v>
      </c>
      <c r="I302" s="6" t="s">
        <v>33</v>
      </c>
      <c r="J302" s="6" t="s">
        <v>35</v>
      </c>
      <c r="L302">
        <v>34.200000000000003</v>
      </c>
      <c r="M302">
        <v>4</v>
      </c>
      <c r="N302">
        <v>105</v>
      </c>
      <c r="O302">
        <v>70</v>
      </c>
      <c r="P302">
        <v>2200</v>
      </c>
      <c r="Q302">
        <v>13.2</v>
      </c>
      <c r="R302">
        <v>79</v>
      </c>
      <c r="S302" t="s">
        <v>12</v>
      </c>
      <c r="T302" t="s">
        <v>243</v>
      </c>
    </row>
    <row r="303" spans="2:20" x14ac:dyDescent="0.3">
      <c r="B303" s="5">
        <v>23.9</v>
      </c>
      <c r="C303" s="5">
        <v>8</v>
      </c>
      <c r="D303" s="5">
        <v>260</v>
      </c>
      <c r="E303" s="5">
        <v>90</v>
      </c>
      <c r="F303" s="5">
        <v>3420</v>
      </c>
      <c r="G303" s="4">
        <v>22.2</v>
      </c>
      <c r="H303" s="5">
        <v>79</v>
      </c>
      <c r="I303" s="6" t="s">
        <v>12</v>
      </c>
      <c r="J303" s="6" t="s">
        <v>200</v>
      </c>
      <c r="L303">
        <v>34.5</v>
      </c>
      <c r="M303">
        <v>4</v>
      </c>
      <c r="N303">
        <v>105</v>
      </c>
      <c r="O303">
        <v>70</v>
      </c>
      <c r="P303">
        <v>2150</v>
      </c>
      <c r="Q303">
        <v>14.9</v>
      </c>
      <c r="R303">
        <v>79</v>
      </c>
      <c r="S303" t="s">
        <v>12</v>
      </c>
      <c r="T303" t="s">
        <v>244</v>
      </c>
    </row>
    <row r="304" spans="2:20" x14ac:dyDescent="0.3">
      <c r="B304" s="5">
        <v>34.200000000000003</v>
      </c>
      <c r="C304" s="5">
        <v>4</v>
      </c>
      <c r="D304" s="5">
        <v>105</v>
      </c>
      <c r="E304" s="5">
        <v>70</v>
      </c>
      <c r="F304" s="5">
        <v>2200</v>
      </c>
      <c r="G304" s="4">
        <v>13.2</v>
      </c>
      <c r="H304" s="5">
        <v>79</v>
      </c>
      <c r="I304" s="6" t="s">
        <v>12</v>
      </c>
      <c r="J304" s="6" t="s">
        <v>243</v>
      </c>
      <c r="L304">
        <v>31.8</v>
      </c>
      <c r="M304">
        <v>4</v>
      </c>
      <c r="N304">
        <v>85</v>
      </c>
      <c r="O304">
        <v>65</v>
      </c>
      <c r="P304">
        <v>2020</v>
      </c>
      <c r="Q304">
        <v>19.2</v>
      </c>
      <c r="R304">
        <v>79</v>
      </c>
      <c r="S304" t="s">
        <v>27</v>
      </c>
      <c r="T304" t="s">
        <v>245</v>
      </c>
    </row>
    <row r="305" spans="2:20" x14ac:dyDescent="0.3">
      <c r="B305" s="5">
        <v>34.5</v>
      </c>
      <c r="C305" s="5">
        <v>4</v>
      </c>
      <c r="D305" s="5">
        <v>105</v>
      </c>
      <c r="E305" s="5">
        <v>70</v>
      </c>
      <c r="F305" s="5">
        <v>2150</v>
      </c>
      <c r="G305" s="4">
        <v>14.9</v>
      </c>
      <c r="H305" s="5">
        <v>79</v>
      </c>
      <c r="I305" s="6" t="s">
        <v>12</v>
      </c>
      <c r="J305" s="6" t="s">
        <v>244</v>
      </c>
      <c r="L305">
        <v>37.299999999999997</v>
      </c>
      <c r="M305">
        <v>4</v>
      </c>
      <c r="N305">
        <v>91</v>
      </c>
      <c r="O305">
        <v>69</v>
      </c>
      <c r="P305">
        <v>2130</v>
      </c>
      <c r="Q305">
        <v>14.7</v>
      </c>
      <c r="R305">
        <v>79</v>
      </c>
      <c r="S305" t="s">
        <v>33</v>
      </c>
      <c r="T305" t="s">
        <v>246</v>
      </c>
    </row>
    <row r="306" spans="2:20" x14ac:dyDescent="0.3">
      <c r="B306" s="5">
        <v>31.8</v>
      </c>
      <c r="C306" s="5">
        <v>4</v>
      </c>
      <c r="D306" s="5">
        <v>85</v>
      </c>
      <c r="E306" s="5">
        <v>65</v>
      </c>
      <c r="F306" s="5">
        <v>2020</v>
      </c>
      <c r="G306" s="4">
        <v>19.2</v>
      </c>
      <c r="H306" s="5">
        <v>79</v>
      </c>
      <c r="I306" s="6" t="s">
        <v>27</v>
      </c>
      <c r="J306" s="6" t="s">
        <v>245</v>
      </c>
      <c r="L306">
        <v>28.4</v>
      </c>
      <c r="M306">
        <v>4</v>
      </c>
      <c r="N306">
        <v>151</v>
      </c>
      <c r="O306">
        <v>90</v>
      </c>
      <c r="P306">
        <v>2670</v>
      </c>
      <c r="Q306">
        <v>16</v>
      </c>
      <c r="R306">
        <v>79</v>
      </c>
      <c r="S306" t="s">
        <v>12</v>
      </c>
      <c r="T306" t="s">
        <v>247</v>
      </c>
    </row>
    <row r="307" spans="2:20" x14ac:dyDescent="0.3">
      <c r="B307" s="5">
        <v>37.299999999999997</v>
      </c>
      <c r="C307" s="5">
        <v>4</v>
      </c>
      <c r="D307" s="5">
        <v>91</v>
      </c>
      <c r="E307" s="5">
        <v>69</v>
      </c>
      <c r="F307" s="5">
        <v>2130</v>
      </c>
      <c r="G307" s="4">
        <v>14.7</v>
      </c>
      <c r="H307" s="5">
        <v>79</v>
      </c>
      <c r="I307" s="6" t="s">
        <v>33</v>
      </c>
      <c r="J307" s="6" t="s">
        <v>246</v>
      </c>
      <c r="L307">
        <v>28.8</v>
      </c>
      <c r="M307">
        <v>6</v>
      </c>
      <c r="N307">
        <v>173</v>
      </c>
      <c r="O307">
        <v>115</v>
      </c>
      <c r="P307">
        <v>2595</v>
      </c>
      <c r="Q307">
        <v>11.3</v>
      </c>
      <c r="R307">
        <v>79</v>
      </c>
      <c r="S307" t="s">
        <v>12</v>
      </c>
      <c r="T307" t="s">
        <v>248</v>
      </c>
    </row>
    <row r="308" spans="2:20" x14ac:dyDescent="0.3">
      <c r="B308" s="5">
        <v>28.4</v>
      </c>
      <c r="C308" s="5">
        <v>4</v>
      </c>
      <c r="D308" s="5">
        <v>151</v>
      </c>
      <c r="E308" s="5">
        <v>90</v>
      </c>
      <c r="F308" s="5">
        <v>2670</v>
      </c>
      <c r="G308" s="4">
        <v>16</v>
      </c>
      <c r="H308" s="5">
        <v>79</v>
      </c>
      <c r="I308" s="6" t="s">
        <v>12</v>
      </c>
      <c r="J308" s="6" t="s">
        <v>247</v>
      </c>
      <c r="L308">
        <v>26.8</v>
      </c>
      <c r="M308">
        <v>6</v>
      </c>
      <c r="N308">
        <v>173</v>
      </c>
      <c r="O308">
        <v>115</v>
      </c>
      <c r="P308">
        <v>2700</v>
      </c>
      <c r="Q308">
        <v>12.9</v>
      </c>
      <c r="R308">
        <v>79</v>
      </c>
      <c r="S308" t="s">
        <v>12</v>
      </c>
      <c r="T308" t="s">
        <v>249</v>
      </c>
    </row>
    <row r="309" spans="2:20" x14ac:dyDescent="0.3">
      <c r="B309" s="5">
        <v>28.8</v>
      </c>
      <c r="C309" s="5">
        <v>6</v>
      </c>
      <c r="D309" s="5">
        <v>173</v>
      </c>
      <c r="E309" s="5">
        <v>115</v>
      </c>
      <c r="F309" s="5">
        <v>2595</v>
      </c>
      <c r="G309" s="4">
        <v>11.3</v>
      </c>
      <c r="H309" s="5">
        <v>79</v>
      </c>
      <c r="I309" s="6" t="s">
        <v>12</v>
      </c>
      <c r="J309" s="6" t="s">
        <v>248</v>
      </c>
      <c r="L309">
        <v>33.5</v>
      </c>
      <c r="M309">
        <v>4</v>
      </c>
      <c r="N309">
        <v>151</v>
      </c>
      <c r="O309">
        <v>90</v>
      </c>
      <c r="P309">
        <v>2556</v>
      </c>
      <c r="Q309">
        <v>13.2</v>
      </c>
      <c r="R309">
        <v>79</v>
      </c>
      <c r="S309" t="s">
        <v>12</v>
      </c>
      <c r="T309" t="s">
        <v>250</v>
      </c>
    </row>
    <row r="310" spans="2:20" x14ac:dyDescent="0.3">
      <c r="B310" s="5">
        <v>26.8</v>
      </c>
      <c r="C310" s="5">
        <v>6</v>
      </c>
      <c r="D310" s="5">
        <v>173</v>
      </c>
      <c r="E310" s="5">
        <v>115</v>
      </c>
      <c r="F310" s="5">
        <v>2700</v>
      </c>
      <c r="G310" s="4">
        <v>12.9</v>
      </c>
      <c r="H310" s="5">
        <v>79</v>
      </c>
      <c r="I310" s="6" t="s">
        <v>12</v>
      </c>
      <c r="J310" s="6" t="s">
        <v>249</v>
      </c>
      <c r="L310">
        <v>41.5</v>
      </c>
      <c r="M310">
        <v>4</v>
      </c>
      <c r="N310">
        <v>98</v>
      </c>
      <c r="O310">
        <v>76</v>
      </c>
      <c r="P310">
        <v>2144</v>
      </c>
      <c r="Q310">
        <v>14.7</v>
      </c>
      <c r="R310">
        <v>80</v>
      </c>
      <c r="S310" t="s">
        <v>33</v>
      </c>
      <c r="T310" t="s">
        <v>158</v>
      </c>
    </row>
    <row r="311" spans="2:20" x14ac:dyDescent="0.3">
      <c r="B311" s="5">
        <v>33.5</v>
      </c>
      <c r="C311" s="5">
        <v>4</v>
      </c>
      <c r="D311" s="5">
        <v>151</v>
      </c>
      <c r="E311" s="5">
        <v>90</v>
      </c>
      <c r="F311" s="5">
        <v>2556</v>
      </c>
      <c r="G311" s="4">
        <v>13.2</v>
      </c>
      <c r="H311" s="5">
        <v>79</v>
      </c>
      <c r="I311" s="6" t="s">
        <v>12</v>
      </c>
      <c r="J311" s="6" t="s">
        <v>250</v>
      </c>
      <c r="L311">
        <v>38.1</v>
      </c>
      <c r="M311">
        <v>4</v>
      </c>
      <c r="N311">
        <v>89</v>
      </c>
      <c r="O311">
        <v>60</v>
      </c>
      <c r="P311">
        <v>1968</v>
      </c>
      <c r="Q311">
        <v>18.8</v>
      </c>
      <c r="R311">
        <v>80</v>
      </c>
      <c r="S311" t="s">
        <v>27</v>
      </c>
      <c r="T311" t="s">
        <v>251</v>
      </c>
    </row>
    <row r="312" spans="2:20" x14ac:dyDescent="0.3">
      <c r="B312" s="5">
        <v>41.5</v>
      </c>
      <c r="C312" s="5">
        <v>4</v>
      </c>
      <c r="D312" s="5">
        <v>98</v>
      </c>
      <c r="E312" s="5">
        <v>76</v>
      </c>
      <c r="F312" s="5">
        <v>2144</v>
      </c>
      <c r="G312" s="4">
        <v>14.7</v>
      </c>
      <c r="H312" s="5">
        <v>80</v>
      </c>
      <c r="I312" s="6" t="s">
        <v>33</v>
      </c>
      <c r="J312" s="6" t="s">
        <v>158</v>
      </c>
      <c r="L312">
        <v>32.1</v>
      </c>
      <c r="M312">
        <v>4</v>
      </c>
      <c r="N312">
        <v>98</v>
      </c>
      <c r="O312">
        <v>70</v>
      </c>
      <c r="P312">
        <v>2120</v>
      </c>
      <c r="Q312">
        <v>15.5</v>
      </c>
      <c r="R312">
        <v>80</v>
      </c>
      <c r="S312" t="s">
        <v>12</v>
      </c>
      <c r="T312" t="s">
        <v>156</v>
      </c>
    </row>
    <row r="313" spans="2:20" x14ac:dyDescent="0.3">
      <c r="B313" s="5">
        <v>38.1</v>
      </c>
      <c r="C313" s="5">
        <v>4</v>
      </c>
      <c r="D313" s="5">
        <v>89</v>
      </c>
      <c r="E313" s="5">
        <v>60</v>
      </c>
      <c r="F313" s="5">
        <v>1968</v>
      </c>
      <c r="G313" s="4">
        <v>18.8</v>
      </c>
      <c r="H313" s="5">
        <v>80</v>
      </c>
      <c r="I313" s="6" t="s">
        <v>27</v>
      </c>
      <c r="J313" s="6" t="s">
        <v>251</v>
      </c>
      <c r="L313">
        <v>37.200000000000003</v>
      </c>
      <c r="M313">
        <v>4</v>
      </c>
      <c r="N313">
        <v>86</v>
      </c>
      <c r="O313">
        <v>65</v>
      </c>
      <c r="P313">
        <v>2019</v>
      </c>
      <c r="Q313">
        <v>16.399999999999999</v>
      </c>
      <c r="R313">
        <v>80</v>
      </c>
      <c r="S313" t="s">
        <v>27</v>
      </c>
      <c r="T313" t="s">
        <v>252</v>
      </c>
    </row>
    <row r="314" spans="2:20" x14ac:dyDescent="0.3">
      <c r="B314" s="5">
        <v>32.1</v>
      </c>
      <c r="C314" s="5">
        <v>4</v>
      </c>
      <c r="D314" s="5">
        <v>98</v>
      </c>
      <c r="E314" s="5">
        <v>70</v>
      </c>
      <c r="F314" s="5">
        <v>2120</v>
      </c>
      <c r="G314" s="4">
        <v>15.5</v>
      </c>
      <c r="H314" s="5">
        <v>80</v>
      </c>
      <c r="I314" s="6" t="s">
        <v>12</v>
      </c>
      <c r="J314" s="6" t="s">
        <v>156</v>
      </c>
      <c r="L314">
        <v>28</v>
      </c>
      <c r="M314">
        <v>4</v>
      </c>
      <c r="N314">
        <v>151</v>
      </c>
      <c r="O314">
        <v>90</v>
      </c>
      <c r="P314">
        <v>2678</v>
      </c>
      <c r="Q314">
        <v>16.5</v>
      </c>
      <c r="R314">
        <v>80</v>
      </c>
      <c r="S314" t="s">
        <v>12</v>
      </c>
      <c r="T314" t="s">
        <v>248</v>
      </c>
    </row>
    <row r="315" spans="2:20" x14ac:dyDescent="0.3">
      <c r="B315" s="5">
        <v>37.200000000000003</v>
      </c>
      <c r="C315" s="5">
        <v>4</v>
      </c>
      <c r="D315" s="5">
        <v>86</v>
      </c>
      <c r="E315" s="5">
        <v>65</v>
      </c>
      <c r="F315" s="5">
        <v>2019</v>
      </c>
      <c r="G315" s="4">
        <v>16.399999999999999</v>
      </c>
      <c r="H315" s="5">
        <v>80</v>
      </c>
      <c r="I315" s="6" t="s">
        <v>27</v>
      </c>
      <c r="J315" s="6" t="s">
        <v>252</v>
      </c>
      <c r="L315">
        <v>26.4</v>
      </c>
      <c r="M315">
        <v>4</v>
      </c>
      <c r="N315">
        <v>140</v>
      </c>
      <c r="O315">
        <v>88</v>
      </c>
      <c r="P315">
        <v>2870</v>
      </c>
      <c r="Q315">
        <v>18.100000000000001</v>
      </c>
      <c r="R315">
        <v>80</v>
      </c>
      <c r="S315" t="s">
        <v>12</v>
      </c>
      <c r="T315" t="s">
        <v>253</v>
      </c>
    </row>
    <row r="316" spans="2:20" x14ac:dyDescent="0.3">
      <c r="B316" s="5">
        <v>28</v>
      </c>
      <c r="C316" s="5">
        <v>4</v>
      </c>
      <c r="D316" s="5">
        <v>151</v>
      </c>
      <c r="E316" s="5">
        <v>90</v>
      </c>
      <c r="F316" s="5">
        <v>2678</v>
      </c>
      <c r="G316" s="4">
        <v>16.5</v>
      </c>
      <c r="H316" s="5">
        <v>80</v>
      </c>
      <c r="I316" s="6" t="s">
        <v>12</v>
      </c>
      <c r="J316" s="6" t="s">
        <v>248</v>
      </c>
      <c r="L316">
        <v>24.3</v>
      </c>
      <c r="M316">
        <v>4</v>
      </c>
      <c r="N316">
        <v>151</v>
      </c>
      <c r="O316">
        <v>90</v>
      </c>
      <c r="P316">
        <v>3003</v>
      </c>
      <c r="Q316">
        <v>20.100000000000001</v>
      </c>
      <c r="R316">
        <v>80</v>
      </c>
      <c r="S316" t="s">
        <v>12</v>
      </c>
      <c r="T316" t="s">
        <v>207</v>
      </c>
    </row>
    <row r="317" spans="2:20" x14ac:dyDescent="0.3">
      <c r="B317" s="5">
        <v>26.4</v>
      </c>
      <c r="C317" s="5">
        <v>4</v>
      </c>
      <c r="D317" s="5">
        <v>140</v>
      </c>
      <c r="E317" s="5">
        <v>88</v>
      </c>
      <c r="F317" s="5">
        <v>2870</v>
      </c>
      <c r="G317" s="4">
        <v>18.100000000000001</v>
      </c>
      <c r="H317" s="5">
        <v>80</v>
      </c>
      <c r="I317" s="6" t="s">
        <v>12</v>
      </c>
      <c r="J317" s="6" t="s">
        <v>253</v>
      </c>
      <c r="L317">
        <v>19.100000000000001</v>
      </c>
      <c r="M317">
        <v>6</v>
      </c>
      <c r="N317">
        <v>225</v>
      </c>
      <c r="O317">
        <v>90</v>
      </c>
      <c r="P317">
        <v>3381</v>
      </c>
      <c r="Q317">
        <v>18.7</v>
      </c>
      <c r="R317">
        <v>80</v>
      </c>
      <c r="S317" t="s">
        <v>12</v>
      </c>
      <c r="T317" t="s">
        <v>210</v>
      </c>
    </row>
    <row r="318" spans="2:20" x14ac:dyDescent="0.3">
      <c r="B318" s="5">
        <v>24.3</v>
      </c>
      <c r="C318" s="5">
        <v>4</v>
      </c>
      <c r="D318" s="5">
        <v>151</v>
      </c>
      <c r="E318" s="5">
        <v>90</v>
      </c>
      <c r="F318" s="5">
        <v>3003</v>
      </c>
      <c r="G318" s="4">
        <v>20.100000000000001</v>
      </c>
      <c r="H318" s="5">
        <v>80</v>
      </c>
      <c r="I318" s="6" t="s">
        <v>12</v>
      </c>
      <c r="J318" s="6" t="s">
        <v>207</v>
      </c>
      <c r="L318">
        <v>34.299999999999997</v>
      </c>
      <c r="M318">
        <v>4</v>
      </c>
      <c r="N318">
        <v>97</v>
      </c>
      <c r="O318">
        <v>78</v>
      </c>
      <c r="P318">
        <v>2188</v>
      </c>
      <c r="Q318">
        <v>15.8</v>
      </c>
      <c r="R318">
        <v>80</v>
      </c>
      <c r="S318" t="s">
        <v>33</v>
      </c>
      <c r="T318" t="s">
        <v>254</v>
      </c>
    </row>
    <row r="319" spans="2:20" x14ac:dyDescent="0.3">
      <c r="B319" s="5">
        <v>19.100000000000001</v>
      </c>
      <c r="C319" s="5">
        <v>6</v>
      </c>
      <c r="D319" s="5">
        <v>225</v>
      </c>
      <c r="E319" s="5">
        <v>90</v>
      </c>
      <c r="F319" s="5">
        <v>3381</v>
      </c>
      <c r="G319" s="4">
        <v>18.7</v>
      </c>
      <c r="H319" s="5">
        <v>80</v>
      </c>
      <c r="I319" s="6" t="s">
        <v>12</v>
      </c>
      <c r="J319" s="6" t="s">
        <v>210</v>
      </c>
      <c r="L319">
        <v>29.8</v>
      </c>
      <c r="M319">
        <v>4</v>
      </c>
      <c r="N319">
        <v>134</v>
      </c>
      <c r="O319">
        <v>90</v>
      </c>
      <c r="P319">
        <v>2711</v>
      </c>
      <c r="Q319">
        <v>15.5</v>
      </c>
      <c r="R319">
        <v>80</v>
      </c>
      <c r="S319" t="s">
        <v>27</v>
      </c>
      <c r="T319" t="s">
        <v>255</v>
      </c>
    </row>
    <row r="320" spans="2:20" x14ac:dyDescent="0.3">
      <c r="B320" s="5">
        <v>34.299999999999997</v>
      </c>
      <c r="C320" s="5">
        <v>4</v>
      </c>
      <c r="D320" s="5">
        <v>97</v>
      </c>
      <c r="E320" s="5">
        <v>78</v>
      </c>
      <c r="F320" s="5">
        <v>2188</v>
      </c>
      <c r="G320" s="4">
        <v>15.8</v>
      </c>
      <c r="H320" s="5">
        <v>80</v>
      </c>
      <c r="I320" s="6" t="s">
        <v>33</v>
      </c>
      <c r="J320" s="6" t="s">
        <v>254</v>
      </c>
      <c r="L320">
        <v>31.3</v>
      </c>
      <c r="M320">
        <v>4</v>
      </c>
      <c r="N320">
        <v>120</v>
      </c>
      <c r="O320">
        <v>75</v>
      </c>
      <c r="P320">
        <v>2542</v>
      </c>
      <c r="Q320">
        <v>17.5</v>
      </c>
      <c r="R320">
        <v>80</v>
      </c>
      <c r="S320" t="s">
        <v>27</v>
      </c>
      <c r="T320" t="s">
        <v>256</v>
      </c>
    </row>
    <row r="321" spans="2:20" x14ac:dyDescent="0.3">
      <c r="B321" s="5">
        <v>29.8</v>
      </c>
      <c r="C321" s="5">
        <v>4</v>
      </c>
      <c r="D321" s="5">
        <v>134</v>
      </c>
      <c r="E321" s="5">
        <v>90</v>
      </c>
      <c r="F321" s="5">
        <v>2711</v>
      </c>
      <c r="G321" s="4">
        <v>15.5</v>
      </c>
      <c r="H321" s="5">
        <v>80</v>
      </c>
      <c r="I321" s="6" t="s">
        <v>27</v>
      </c>
      <c r="J321" s="6" t="s">
        <v>255</v>
      </c>
      <c r="L321">
        <v>37</v>
      </c>
      <c r="M321">
        <v>4</v>
      </c>
      <c r="N321">
        <v>119</v>
      </c>
      <c r="O321">
        <v>92</v>
      </c>
      <c r="P321">
        <v>2434</v>
      </c>
      <c r="Q321">
        <v>15</v>
      </c>
      <c r="R321">
        <v>80</v>
      </c>
      <c r="S321" t="s">
        <v>27</v>
      </c>
      <c r="T321" t="s">
        <v>257</v>
      </c>
    </row>
    <row r="322" spans="2:20" x14ac:dyDescent="0.3">
      <c r="B322" s="5">
        <v>31.3</v>
      </c>
      <c r="C322" s="5">
        <v>4</v>
      </c>
      <c r="D322" s="5">
        <v>120</v>
      </c>
      <c r="E322" s="5">
        <v>75</v>
      </c>
      <c r="F322" s="5">
        <v>2542</v>
      </c>
      <c r="G322" s="4">
        <v>17.5</v>
      </c>
      <c r="H322" s="5">
        <v>80</v>
      </c>
      <c r="I322" s="6" t="s">
        <v>27</v>
      </c>
      <c r="J322" s="6" t="s">
        <v>256</v>
      </c>
      <c r="L322">
        <v>32.200000000000003</v>
      </c>
      <c r="M322">
        <v>4</v>
      </c>
      <c r="N322">
        <v>108</v>
      </c>
      <c r="O322">
        <v>75</v>
      </c>
      <c r="P322">
        <v>2265</v>
      </c>
      <c r="Q322">
        <v>15.2</v>
      </c>
      <c r="R322">
        <v>80</v>
      </c>
      <c r="S322" t="s">
        <v>27</v>
      </c>
      <c r="T322" t="s">
        <v>146</v>
      </c>
    </row>
    <row r="323" spans="2:20" x14ac:dyDescent="0.3">
      <c r="B323" s="5">
        <v>37</v>
      </c>
      <c r="C323" s="5">
        <v>4</v>
      </c>
      <c r="D323" s="5">
        <v>119</v>
      </c>
      <c r="E323" s="5">
        <v>92</v>
      </c>
      <c r="F323" s="5">
        <v>2434</v>
      </c>
      <c r="G323" s="4">
        <v>15</v>
      </c>
      <c r="H323" s="5">
        <v>80</v>
      </c>
      <c r="I323" s="6" t="s">
        <v>27</v>
      </c>
      <c r="J323" s="6" t="s">
        <v>257</v>
      </c>
      <c r="L323">
        <v>46.6</v>
      </c>
      <c r="M323">
        <v>4</v>
      </c>
      <c r="N323">
        <v>86</v>
      </c>
      <c r="O323">
        <v>65</v>
      </c>
      <c r="P323">
        <v>2110</v>
      </c>
      <c r="Q323">
        <v>17.899999999999999</v>
      </c>
      <c r="R323">
        <v>80</v>
      </c>
      <c r="S323" t="s">
        <v>27</v>
      </c>
      <c r="T323" t="s">
        <v>258</v>
      </c>
    </row>
    <row r="324" spans="2:20" x14ac:dyDescent="0.3">
      <c r="B324" s="5">
        <v>32.200000000000003</v>
      </c>
      <c r="C324" s="5">
        <v>4</v>
      </c>
      <c r="D324" s="5">
        <v>108</v>
      </c>
      <c r="E324" s="5">
        <v>75</v>
      </c>
      <c r="F324" s="5">
        <v>2265</v>
      </c>
      <c r="G324" s="4">
        <v>15.2</v>
      </c>
      <c r="H324" s="5">
        <v>80</v>
      </c>
      <c r="I324" s="6" t="s">
        <v>27</v>
      </c>
      <c r="J324" s="6" t="s">
        <v>146</v>
      </c>
      <c r="L324">
        <v>27.9</v>
      </c>
      <c r="M324">
        <v>4</v>
      </c>
      <c r="N324">
        <v>156</v>
      </c>
      <c r="O324">
        <v>105</v>
      </c>
      <c r="P324">
        <v>2800</v>
      </c>
      <c r="Q324">
        <v>14.4</v>
      </c>
      <c r="R324">
        <v>80</v>
      </c>
      <c r="S324" t="s">
        <v>12</v>
      </c>
      <c r="T324" t="s">
        <v>131</v>
      </c>
    </row>
    <row r="325" spans="2:20" x14ac:dyDescent="0.3">
      <c r="B325" s="5">
        <v>46.6</v>
      </c>
      <c r="C325" s="5">
        <v>4</v>
      </c>
      <c r="D325" s="5">
        <v>86</v>
      </c>
      <c r="E325" s="5">
        <v>65</v>
      </c>
      <c r="F325" s="5">
        <v>2110</v>
      </c>
      <c r="G325" s="4">
        <v>17.899999999999999</v>
      </c>
      <c r="H325" s="5">
        <v>80</v>
      </c>
      <c r="I325" s="6" t="s">
        <v>27</v>
      </c>
      <c r="J325" s="6" t="s">
        <v>258</v>
      </c>
      <c r="L325">
        <v>40.799999999999997</v>
      </c>
      <c r="M325">
        <v>4</v>
      </c>
      <c r="N325">
        <v>85</v>
      </c>
      <c r="O325">
        <v>65</v>
      </c>
      <c r="P325">
        <v>2110</v>
      </c>
      <c r="Q325">
        <v>19.2</v>
      </c>
      <c r="R325">
        <v>80</v>
      </c>
      <c r="S325" t="s">
        <v>27</v>
      </c>
      <c r="T325" t="s">
        <v>245</v>
      </c>
    </row>
    <row r="326" spans="2:20" x14ac:dyDescent="0.3">
      <c r="B326" s="5">
        <v>27.9</v>
      </c>
      <c r="C326" s="5">
        <v>4</v>
      </c>
      <c r="D326" s="5">
        <v>156</v>
      </c>
      <c r="E326" s="5">
        <v>105</v>
      </c>
      <c r="F326" s="5">
        <v>2800</v>
      </c>
      <c r="G326" s="4">
        <v>14.4</v>
      </c>
      <c r="H326" s="5">
        <v>80</v>
      </c>
      <c r="I326" s="6" t="s">
        <v>12</v>
      </c>
      <c r="J326" s="6" t="s">
        <v>131</v>
      </c>
      <c r="L326">
        <v>44.3</v>
      </c>
      <c r="M326">
        <v>4</v>
      </c>
      <c r="N326">
        <v>90</v>
      </c>
      <c r="O326">
        <v>48</v>
      </c>
      <c r="P326">
        <v>2085</v>
      </c>
      <c r="Q326">
        <v>21.7</v>
      </c>
      <c r="R326">
        <v>80</v>
      </c>
      <c r="S326" t="s">
        <v>33</v>
      </c>
      <c r="T326" t="s">
        <v>259</v>
      </c>
    </row>
    <row r="327" spans="2:20" x14ac:dyDescent="0.3">
      <c r="B327" s="5">
        <v>40.799999999999997</v>
      </c>
      <c r="C327" s="5">
        <v>4</v>
      </c>
      <c r="D327" s="5">
        <v>85</v>
      </c>
      <c r="E327" s="5">
        <v>65</v>
      </c>
      <c r="F327" s="5">
        <v>2110</v>
      </c>
      <c r="G327" s="4">
        <v>19.2</v>
      </c>
      <c r="H327" s="5">
        <v>80</v>
      </c>
      <c r="I327" s="6" t="s">
        <v>27</v>
      </c>
      <c r="J327" s="6" t="s">
        <v>245</v>
      </c>
      <c r="L327">
        <v>43.4</v>
      </c>
      <c r="M327">
        <v>4</v>
      </c>
      <c r="N327">
        <v>90</v>
      </c>
      <c r="O327">
        <v>48</v>
      </c>
      <c r="P327">
        <v>2335</v>
      </c>
      <c r="Q327">
        <v>23.7</v>
      </c>
      <c r="R327">
        <v>80</v>
      </c>
      <c r="S327" t="s">
        <v>33</v>
      </c>
      <c r="T327" t="s">
        <v>260</v>
      </c>
    </row>
    <row r="328" spans="2:20" x14ac:dyDescent="0.3">
      <c r="B328" s="5">
        <v>44.3</v>
      </c>
      <c r="C328" s="5">
        <v>4</v>
      </c>
      <c r="D328" s="5">
        <v>90</v>
      </c>
      <c r="E328" s="5">
        <v>48</v>
      </c>
      <c r="F328" s="5">
        <v>2085</v>
      </c>
      <c r="G328" s="4">
        <v>21.7</v>
      </c>
      <c r="H328" s="5">
        <v>80</v>
      </c>
      <c r="I328" s="6" t="s">
        <v>33</v>
      </c>
      <c r="J328" s="6" t="s">
        <v>259</v>
      </c>
      <c r="L328">
        <v>36.4</v>
      </c>
      <c r="M328">
        <v>5</v>
      </c>
      <c r="N328">
        <v>121</v>
      </c>
      <c r="O328">
        <v>67</v>
      </c>
      <c r="P328">
        <v>2950</v>
      </c>
      <c r="Q328">
        <v>19.899999999999999</v>
      </c>
      <c r="R328">
        <v>80</v>
      </c>
      <c r="S328" t="s">
        <v>33</v>
      </c>
      <c r="T328" t="s">
        <v>261</v>
      </c>
    </row>
    <row r="329" spans="2:20" x14ac:dyDescent="0.3">
      <c r="B329" s="5">
        <v>43.4</v>
      </c>
      <c r="C329" s="5">
        <v>4</v>
      </c>
      <c r="D329" s="5">
        <v>90</v>
      </c>
      <c r="E329" s="5">
        <v>48</v>
      </c>
      <c r="F329" s="5">
        <v>2335</v>
      </c>
      <c r="G329" s="4">
        <v>23.7</v>
      </c>
      <c r="H329" s="5">
        <v>80</v>
      </c>
      <c r="I329" s="6" t="s">
        <v>33</v>
      </c>
      <c r="J329" s="6" t="s">
        <v>260</v>
      </c>
      <c r="L329">
        <v>30</v>
      </c>
      <c r="M329">
        <v>4</v>
      </c>
      <c r="N329">
        <v>146</v>
      </c>
      <c r="O329">
        <v>67</v>
      </c>
      <c r="P329">
        <v>3250</v>
      </c>
      <c r="Q329">
        <v>21.8</v>
      </c>
      <c r="R329">
        <v>80</v>
      </c>
      <c r="S329" t="s">
        <v>33</v>
      </c>
      <c r="T329" t="s">
        <v>262</v>
      </c>
    </row>
    <row r="330" spans="2:20" x14ac:dyDescent="0.3">
      <c r="B330" s="5">
        <v>36.4</v>
      </c>
      <c r="C330" s="5">
        <v>5</v>
      </c>
      <c r="D330" s="5">
        <v>121</v>
      </c>
      <c r="E330" s="5">
        <v>67</v>
      </c>
      <c r="F330" s="5">
        <v>2950</v>
      </c>
      <c r="G330" s="4">
        <v>19.899999999999999</v>
      </c>
      <c r="H330" s="5">
        <v>80</v>
      </c>
      <c r="I330" s="6" t="s">
        <v>33</v>
      </c>
      <c r="J330" s="6" t="s">
        <v>261</v>
      </c>
      <c r="L330">
        <v>44.6</v>
      </c>
      <c r="M330">
        <v>4</v>
      </c>
      <c r="N330">
        <v>91</v>
      </c>
      <c r="O330">
        <v>67</v>
      </c>
      <c r="P330">
        <v>1850</v>
      </c>
      <c r="Q330">
        <v>13.8</v>
      </c>
      <c r="R330">
        <v>80</v>
      </c>
      <c r="S330" t="s">
        <v>27</v>
      </c>
      <c r="T330" t="s">
        <v>263</v>
      </c>
    </row>
    <row r="331" spans="2:20" x14ac:dyDescent="0.3">
      <c r="B331" s="5">
        <v>30</v>
      </c>
      <c r="C331" s="5">
        <v>4</v>
      </c>
      <c r="D331" s="5">
        <v>146</v>
      </c>
      <c r="E331" s="5">
        <v>67</v>
      </c>
      <c r="F331" s="5">
        <v>3250</v>
      </c>
      <c r="G331" s="4">
        <v>21.8</v>
      </c>
      <c r="H331" s="5">
        <v>80</v>
      </c>
      <c r="I331" s="6" t="s">
        <v>33</v>
      </c>
      <c r="J331" s="6" t="s">
        <v>262</v>
      </c>
      <c r="L331">
        <v>33.799999999999997</v>
      </c>
      <c r="M331">
        <v>4</v>
      </c>
      <c r="N331">
        <v>97</v>
      </c>
      <c r="O331">
        <v>67</v>
      </c>
      <c r="P331">
        <v>2145</v>
      </c>
      <c r="Q331">
        <v>18</v>
      </c>
      <c r="R331">
        <v>80</v>
      </c>
      <c r="S331" t="s">
        <v>27</v>
      </c>
      <c r="T331" t="s">
        <v>192</v>
      </c>
    </row>
    <row r="332" spans="2:20" x14ac:dyDescent="0.3">
      <c r="B332" s="5">
        <v>44.6</v>
      </c>
      <c r="C332" s="5">
        <v>4</v>
      </c>
      <c r="D332" s="5">
        <v>91</v>
      </c>
      <c r="E332" s="5">
        <v>67</v>
      </c>
      <c r="F332" s="5">
        <v>1850</v>
      </c>
      <c r="G332" s="4">
        <v>13.8</v>
      </c>
      <c r="H332" s="5">
        <v>80</v>
      </c>
      <c r="I332" s="6" t="s">
        <v>27</v>
      </c>
      <c r="J332" s="6" t="s">
        <v>263</v>
      </c>
      <c r="L332">
        <v>29.8</v>
      </c>
      <c r="M332">
        <v>4</v>
      </c>
      <c r="N332">
        <v>89</v>
      </c>
      <c r="O332">
        <v>62</v>
      </c>
      <c r="P332">
        <v>1845</v>
      </c>
      <c r="Q332">
        <v>15.3</v>
      </c>
      <c r="R332">
        <v>80</v>
      </c>
      <c r="S332" t="s">
        <v>33</v>
      </c>
      <c r="T332" t="s">
        <v>265</v>
      </c>
    </row>
    <row r="333" spans="2:20" x14ac:dyDescent="0.3">
      <c r="B333" s="5">
        <v>40.9</v>
      </c>
      <c r="C333" s="5">
        <v>4</v>
      </c>
      <c r="D333" s="5">
        <v>85</v>
      </c>
      <c r="E333" s="5" t="s">
        <v>327</v>
      </c>
      <c r="F333" s="5">
        <v>1835</v>
      </c>
      <c r="G333" s="4">
        <v>17.3</v>
      </c>
      <c r="H333" s="5">
        <v>80</v>
      </c>
      <c r="I333" s="6" t="s">
        <v>33</v>
      </c>
      <c r="J333" s="6" t="s">
        <v>264</v>
      </c>
      <c r="L333">
        <v>32.700000000000003</v>
      </c>
      <c r="M333">
        <v>6</v>
      </c>
      <c r="N333">
        <v>168</v>
      </c>
      <c r="O333">
        <v>132</v>
      </c>
      <c r="P333">
        <v>2910</v>
      </c>
      <c r="Q333">
        <v>11.4</v>
      </c>
      <c r="R333">
        <v>80</v>
      </c>
      <c r="S333" t="s">
        <v>27</v>
      </c>
      <c r="T333" t="s">
        <v>266</v>
      </c>
    </row>
    <row r="334" spans="2:20" x14ac:dyDescent="0.3">
      <c r="B334" s="5">
        <v>33.799999999999997</v>
      </c>
      <c r="C334" s="5">
        <v>4</v>
      </c>
      <c r="D334" s="5">
        <v>97</v>
      </c>
      <c r="E334" s="5">
        <v>67</v>
      </c>
      <c r="F334" s="5">
        <v>2145</v>
      </c>
      <c r="G334" s="4">
        <v>18</v>
      </c>
      <c r="H334" s="5">
        <v>80</v>
      </c>
      <c r="I334" s="6" t="s">
        <v>27</v>
      </c>
      <c r="J334" s="6" t="s">
        <v>192</v>
      </c>
      <c r="L334">
        <v>23.7</v>
      </c>
      <c r="M334">
        <v>3</v>
      </c>
      <c r="N334">
        <v>70</v>
      </c>
      <c r="O334">
        <v>100</v>
      </c>
      <c r="P334">
        <v>2420</v>
      </c>
      <c r="Q334">
        <v>12.5</v>
      </c>
      <c r="R334">
        <v>80</v>
      </c>
      <c r="S334" t="s">
        <v>27</v>
      </c>
      <c r="T334" t="s">
        <v>267</v>
      </c>
    </row>
    <row r="335" spans="2:20" x14ac:dyDescent="0.3">
      <c r="B335" s="5">
        <v>29.8</v>
      </c>
      <c r="C335" s="5">
        <v>4</v>
      </c>
      <c r="D335" s="5">
        <v>89</v>
      </c>
      <c r="E335" s="5">
        <v>62</v>
      </c>
      <c r="F335" s="5">
        <v>1845</v>
      </c>
      <c r="G335" s="4">
        <v>15.3</v>
      </c>
      <c r="H335" s="5">
        <v>80</v>
      </c>
      <c r="I335" s="6" t="s">
        <v>33</v>
      </c>
      <c r="J335" s="6" t="s">
        <v>265</v>
      </c>
      <c r="L335">
        <v>35</v>
      </c>
      <c r="M335">
        <v>4</v>
      </c>
      <c r="N335">
        <v>122</v>
      </c>
      <c r="O335">
        <v>88</v>
      </c>
      <c r="P335">
        <v>2500</v>
      </c>
      <c r="Q335">
        <v>15.1</v>
      </c>
      <c r="R335">
        <v>80</v>
      </c>
      <c r="S335" t="s">
        <v>33</v>
      </c>
      <c r="T335" t="s">
        <v>268</v>
      </c>
    </row>
    <row r="336" spans="2:20" x14ac:dyDescent="0.3">
      <c r="B336" s="5">
        <v>32.700000000000003</v>
      </c>
      <c r="C336" s="5">
        <v>6</v>
      </c>
      <c r="D336" s="5">
        <v>168</v>
      </c>
      <c r="E336" s="5">
        <v>132</v>
      </c>
      <c r="F336" s="5">
        <v>2910</v>
      </c>
      <c r="G336" s="4">
        <v>11.4</v>
      </c>
      <c r="H336" s="5">
        <v>80</v>
      </c>
      <c r="I336" s="6" t="s">
        <v>27</v>
      </c>
      <c r="J336" s="6" t="s">
        <v>266</v>
      </c>
      <c r="L336">
        <v>32.4</v>
      </c>
      <c r="M336">
        <v>4</v>
      </c>
      <c r="N336">
        <v>107</v>
      </c>
      <c r="O336">
        <v>72</v>
      </c>
      <c r="P336">
        <v>2290</v>
      </c>
      <c r="Q336">
        <v>17</v>
      </c>
      <c r="R336">
        <v>80</v>
      </c>
      <c r="S336" t="s">
        <v>27</v>
      </c>
      <c r="T336" t="s">
        <v>270</v>
      </c>
    </row>
    <row r="337" spans="2:20" x14ac:dyDescent="0.3">
      <c r="B337" s="5">
        <v>23.7</v>
      </c>
      <c r="C337" s="5">
        <v>3</v>
      </c>
      <c r="D337" s="5">
        <v>70</v>
      </c>
      <c r="E337" s="5">
        <v>100</v>
      </c>
      <c r="F337" s="5">
        <v>2420</v>
      </c>
      <c r="G337" s="4">
        <v>12.5</v>
      </c>
      <c r="H337" s="5">
        <v>80</v>
      </c>
      <c r="I337" s="6" t="s">
        <v>27</v>
      </c>
      <c r="J337" s="6" t="s">
        <v>267</v>
      </c>
      <c r="L337">
        <v>27.2</v>
      </c>
      <c r="M337">
        <v>4</v>
      </c>
      <c r="N337">
        <v>135</v>
      </c>
      <c r="O337">
        <v>84</v>
      </c>
      <c r="P337">
        <v>2490</v>
      </c>
      <c r="Q337">
        <v>15.7</v>
      </c>
      <c r="R337">
        <v>81</v>
      </c>
      <c r="S337" t="s">
        <v>12</v>
      </c>
      <c r="T337" t="s">
        <v>271</v>
      </c>
    </row>
    <row r="338" spans="2:20" x14ac:dyDescent="0.3">
      <c r="B338" s="5">
        <v>35</v>
      </c>
      <c r="C338" s="5">
        <v>4</v>
      </c>
      <c r="D338" s="5">
        <v>122</v>
      </c>
      <c r="E338" s="5">
        <v>88</v>
      </c>
      <c r="F338" s="5">
        <v>2500</v>
      </c>
      <c r="G338" s="4">
        <v>15.1</v>
      </c>
      <c r="H338" s="5">
        <v>80</v>
      </c>
      <c r="I338" s="6" t="s">
        <v>33</v>
      </c>
      <c r="J338" s="6" t="s">
        <v>268</v>
      </c>
      <c r="L338">
        <v>26.6</v>
      </c>
      <c r="M338">
        <v>4</v>
      </c>
      <c r="N338">
        <v>151</v>
      </c>
      <c r="O338">
        <v>84</v>
      </c>
      <c r="P338">
        <v>2635</v>
      </c>
      <c r="Q338">
        <v>16.399999999999999</v>
      </c>
      <c r="R338">
        <v>81</v>
      </c>
      <c r="S338" t="s">
        <v>12</v>
      </c>
      <c r="T338" t="s">
        <v>180</v>
      </c>
    </row>
    <row r="339" spans="2:20" x14ac:dyDescent="0.3">
      <c r="B339" s="5">
        <v>23.6</v>
      </c>
      <c r="C339" s="5">
        <v>4</v>
      </c>
      <c r="D339" s="5">
        <v>140</v>
      </c>
      <c r="E339" s="5" t="s">
        <v>327</v>
      </c>
      <c r="F339" s="5">
        <v>2905</v>
      </c>
      <c r="G339" s="4">
        <v>14.3</v>
      </c>
      <c r="H339" s="5">
        <v>80</v>
      </c>
      <c r="I339" s="6" t="s">
        <v>12</v>
      </c>
      <c r="J339" s="6" t="s">
        <v>269</v>
      </c>
      <c r="L339">
        <v>25.8</v>
      </c>
      <c r="M339">
        <v>4</v>
      </c>
      <c r="N339">
        <v>156</v>
      </c>
      <c r="O339">
        <v>92</v>
      </c>
      <c r="P339">
        <v>2620</v>
      </c>
      <c r="Q339">
        <v>14.4</v>
      </c>
      <c r="R339">
        <v>81</v>
      </c>
      <c r="S339" t="s">
        <v>12</v>
      </c>
      <c r="T339" t="s">
        <v>272</v>
      </c>
    </row>
    <row r="340" spans="2:20" x14ac:dyDescent="0.3">
      <c r="B340" s="5">
        <v>32.4</v>
      </c>
      <c r="C340" s="5">
        <v>4</v>
      </c>
      <c r="D340" s="5">
        <v>107</v>
      </c>
      <c r="E340" s="5">
        <v>72</v>
      </c>
      <c r="F340" s="5">
        <v>2290</v>
      </c>
      <c r="G340" s="4">
        <v>17</v>
      </c>
      <c r="H340" s="5">
        <v>80</v>
      </c>
      <c r="I340" s="6" t="s">
        <v>27</v>
      </c>
      <c r="J340" s="6" t="s">
        <v>270</v>
      </c>
      <c r="L340">
        <v>23.5</v>
      </c>
      <c r="M340">
        <v>6</v>
      </c>
      <c r="N340">
        <v>173</v>
      </c>
      <c r="O340">
        <v>110</v>
      </c>
      <c r="P340">
        <v>2725</v>
      </c>
      <c r="Q340">
        <v>12.6</v>
      </c>
      <c r="R340">
        <v>81</v>
      </c>
      <c r="S340" t="s">
        <v>12</v>
      </c>
      <c r="T340" t="s">
        <v>248</v>
      </c>
    </row>
    <row r="341" spans="2:20" x14ac:dyDescent="0.3">
      <c r="B341" s="5">
        <v>27.2</v>
      </c>
      <c r="C341" s="5">
        <v>4</v>
      </c>
      <c r="D341" s="5">
        <v>135</v>
      </c>
      <c r="E341" s="5">
        <v>84</v>
      </c>
      <c r="F341" s="5">
        <v>2490</v>
      </c>
      <c r="G341" s="4">
        <v>15.7</v>
      </c>
      <c r="H341" s="5">
        <v>81</v>
      </c>
      <c r="I341" s="6" t="s">
        <v>12</v>
      </c>
      <c r="J341" s="6" t="s">
        <v>271</v>
      </c>
      <c r="L341">
        <v>30</v>
      </c>
      <c r="M341">
        <v>4</v>
      </c>
      <c r="N341">
        <v>135</v>
      </c>
      <c r="O341">
        <v>84</v>
      </c>
      <c r="P341">
        <v>2385</v>
      </c>
      <c r="Q341">
        <v>12.9</v>
      </c>
      <c r="R341">
        <v>81</v>
      </c>
      <c r="S341" t="s">
        <v>12</v>
      </c>
      <c r="T341" t="s">
        <v>271</v>
      </c>
    </row>
    <row r="342" spans="2:20" x14ac:dyDescent="0.3">
      <c r="B342" s="5">
        <v>26.6</v>
      </c>
      <c r="C342" s="5">
        <v>4</v>
      </c>
      <c r="D342" s="5">
        <v>151</v>
      </c>
      <c r="E342" s="5">
        <v>84</v>
      </c>
      <c r="F342" s="5">
        <v>2635</v>
      </c>
      <c r="G342" s="4">
        <v>16.399999999999999</v>
      </c>
      <c r="H342" s="5">
        <v>81</v>
      </c>
      <c r="I342" s="6" t="s">
        <v>12</v>
      </c>
      <c r="J342" s="6" t="s">
        <v>180</v>
      </c>
      <c r="L342">
        <v>39.1</v>
      </c>
      <c r="M342">
        <v>4</v>
      </c>
      <c r="N342">
        <v>79</v>
      </c>
      <c r="O342">
        <v>58</v>
      </c>
      <c r="P342">
        <v>1755</v>
      </c>
      <c r="Q342">
        <v>16.899999999999999</v>
      </c>
      <c r="R342">
        <v>81</v>
      </c>
      <c r="S342" t="s">
        <v>27</v>
      </c>
      <c r="T342" t="s">
        <v>273</v>
      </c>
    </row>
    <row r="343" spans="2:20" x14ac:dyDescent="0.3">
      <c r="B343" s="5">
        <v>25.8</v>
      </c>
      <c r="C343" s="5">
        <v>4</v>
      </c>
      <c r="D343" s="5">
        <v>156</v>
      </c>
      <c r="E343" s="5">
        <v>92</v>
      </c>
      <c r="F343" s="5">
        <v>2620</v>
      </c>
      <c r="G343" s="4">
        <v>14.4</v>
      </c>
      <c r="H343" s="5">
        <v>81</v>
      </c>
      <c r="I343" s="6" t="s">
        <v>12</v>
      </c>
      <c r="J343" s="6" t="s">
        <v>272</v>
      </c>
      <c r="L343">
        <v>39</v>
      </c>
      <c r="M343">
        <v>4</v>
      </c>
      <c r="N343">
        <v>86</v>
      </c>
      <c r="O343">
        <v>64</v>
      </c>
      <c r="P343">
        <v>1875</v>
      </c>
      <c r="Q343">
        <v>16.399999999999999</v>
      </c>
      <c r="R343">
        <v>81</v>
      </c>
      <c r="S343" t="s">
        <v>12</v>
      </c>
      <c r="T343" t="s">
        <v>274</v>
      </c>
    </row>
    <row r="344" spans="2:20" x14ac:dyDescent="0.3">
      <c r="B344" s="5">
        <v>23.5</v>
      </c>
      <c r="C344" s="5">
        <v>6</v>
      </c>
      <c r="D344" s="5">
        <v>173</v>
      </c>
      <c r="E344" s="5">
        <v>110</v>
      </c>
      <c r="F344" s="5">
        <v>2725</v>
      </c>
      <c r="G344" s="4">
        <v>12.6</v>
      </c>
      <c r="H344" s="5">
        <v>81</v>
      </c>
      <c r="I344" s="6" t="s">
        <v>12</v>
      </c>
      <c r="J344" s="6" t="s">
        <v>248</v>
      </c>
      <c r="L344">
        <v>35.1</v>
      </c>
      <c r="M344">
        <v>4</v>
      </c>
      <c r="N344">
        <v>81</v>
      </c>
      <c r="O344">
        <v>60</v>
      </c>
      <c r="P344">
        <v>1760</v>
      </c>
      <c r="Q344">
        <v>16.100000000000001</v>
      </c>
      <c r="R344">
        <v>81</v>
      </c>
      <c r="S344" t="s">
        <v>27</v>
      </c>
      <c r="T344" t="s">
        <v>275</v>
      </c>
    </row>
    <row r="345" spans="2:20" x14ac:dyDescent="0.3">
      <c r="B345" s="5">
        <v>30</v>
      </c>
      <c r="C345" s="5">
        <v>4</v>
      </c>
      <c r="D345" s="5">
        <v>135</v>
      </c>
      <c r="E345" s="5">
        <v>84</v>
      </c>
      <c r="F345" s="5">
        <v>2385</v>
      </c>
      <c r="G345" s="4">
        <v>12.9</v>
      </c>
      <c r="H345" s="5">
        <v>81</v>
      </c>
      <c r="I345" s="6" t="s">
        <v>12</v>
      </c>
      <c r="J345" s="6" t="s">
        <v>271</v>
      </c>
      <c r="L345">
        <v>32.299999999999997</v>
      </c>
      <c r="M345">
        <v>4</v>
      </c>
      <c r="N345">
        <v>97</v>
      </c>
      <c r="O345">
        <v>67</v>
      </c>
      <c r="P345">
        <v>2065</v>
      </c>
      <c r="Q345">
        <v>17.8</v>
      </c>
      <c r="R345">
        <v>81</v>
      </c>
      <c r="S345" t="s">
        <v>27</v>
      </c>
      <c r="T345" t="s">
        <v>134</v>
      </c>
    </row>
    <row r="346" spans="2:20" x14ac:dyDescent="0.3">
      <c r="B346" s="5">
        <v>39.1</v>
      </c>
      <c r="C346" s="5">
        <v>4</v>
      </c>
      <c r="D346" s="5">
        <v>79</v>
      </c>
      <c r="E346" s="5">
        <v>58</v>
      </c>
      <c r="F346" s="5">
        <v>1755</v>
      </c>
      <c r="G346" s="4">
        <v>16.899999999999999</v>
      </c>
      <c r="H346" s="5">
        <v>81</v>
      </c>
      <c r="I346" s="6" t="s">
        <v>27</v>
      </c>
      <c r="J346" s="6" t="s">
        <v>273</v>
      </c>
      <c r="L346">
        <v>37</v>
      </c>
      <c r="M346">
        <v>4</v>
      </c>
      <c r="N346">
        <v>85</v>
      </c>
      <c r="O346">
        <v>65</v>
      </c>
      <c r="P346">
        <v>1975</v>
      </c>
      <c r="Q346">
        <v>19.399999999999999</v>
      </c>
      <c r="R346">
        <v>81</v>
      </c>
      <c r="S346" t="s">
        <v>27</v>
      </c>
      <c r="T346" t="s">
        <v>276</v>
      </c>
    </row>
    <row r="347" spans="2:20" x14ac:dyDescent="0.3">
      <c r="B347" s="5">
        <v>39</v>
      </c>
      <c r="C347" s="5">
        <v>4</v>
      </c>
      <c r="D347" s="5">
        <v>86</v>
      </c>
      <c r="E347" s="5">
        <v>64</v>
      </c>
      <c r="F347" s="5">
        <v>1875</v>
      </c>
      <c r="G347" s="4">
        <v>16.399999999999999</v>
      </c>
      <c r="H347" s="5">
        <v>81</v>
      </c>
      <c r="I347" s="6" t="s">
        <v>12</v>
      </c>
      <c r="J347" s="6" t="s">
        <v>274</v>
      </c>
      <c r="L347">
        <v>37.700000000000003</v>
      </c>
      <c r="M347">
        <v>4</v>
      </c>
      <c r="N347">
        <v>89</v>
      </c>
      <c r="O347">
        <v>62</v>
      </c>
      <c r="P347">
        <v>2050</v>
      </c>
      <c r="Q347">
        <v>17.3</v>
      </c>
      <c r="R347">
        <v>81</v>
      </c>
      <c r="S347" t="s">
        <v>27</v>
      </c>
      <c r="T347" t="s">
        <v>277</v>
      </c>
    </row>
    <row r="348" spans="2:20" x14ac:dyDescent="0.3">
      <c r="B348" s="5">
        <v>35.1</v>
      </c>
      <c r="C348" s="5">
        <v>4</v>
      </c>
      <c r="D348" s="5">
        <v>81</v>
      </c>
      <c r="E348" s="5">
        <v>60</v>
      </c>
      <c r="F348" s="5">
        <v>1760</v>
      </c>
      <c r="G348" s="4">
        <v>16.100000000000001</v>
      </c>
      <c r="H348" s="5">
        <v>81</v>
      </c>
      <c r="I348" s="6" t="s">
        <v>27</v>
      </c>
      <c r="J348" s="6" t="s">
        <v>275</v>
      </c>
      <c r="L348">
        <v>34.1</v>
      </c>
      <c r="M348">
        <v>4</v>
      </c>
      <c r="N348">
        <v>91</v>
      </c>
      <c r="O348">
        <v>68</v>
      </c>
      <c r="P348">
        <v>1985</v>
      </c>
      <c r="Q348">
        <v>16</v>
      </c>
      <c r="R348">
        <v>81</v>
      </c>
      <c r="S348" t="s">
        <v>27</v>
      </c>
      <c r="T348" t="s">
        <v>278</v>
      </c>
    </row>
    <row r="349" spans="2:20" x14ac:dyDescent="0.3">
      <c r="B349" s="5">
        <v>32.299999999999997</v>
      </c>
      <c r="C349" s="5">
        <v>4</v>
      </c>
      <c r="D349" s="5">
        <v>97</v>
      </c>
      <c r="E349" s="5">
        <v>67</v>
      </c>
      <c r="F349" s="5">
        <v>2065</v>
      </c>
      <c r="G349" s="4">
        <v>17.8</v>
      </c>
      <c r="H349" s="5">
        <v>81</v>
      </c>
      <c r="I349" s="6" t="s">
        <v>27</v>
      </c>
      <c r="J349" s="6" t="s">
        <v>134</v>
      </c>
      <c r="L349">
        <v>34.700000000000003</v>
      </c>
      <c r="M349">
        <v>4</v>
      </c>
      <c r="N349">
        <v>105</v>
      </c>
      <c r="O349">
        <v>63</v>
      </c>
      <c r="P349">
        <v>2215</v>
      </c>
      <c r="Q349">
        <v>14.9</v>
      </c>
      <c r="R349">
        <v>81</v>
      </c>
      <c r="S349" t="s">
        <v>12</v>
      </c>
      <c r="T349" t="s">
        <v>279</v>
      </c>
    </row>
    <row r="350" spans="2:20" x14ac:dyDescent="0.3">
      <c r="B350" s="5">
        <v>37</v>
      </c>
      <c r="C350" s="5">
        <v>4</v>
      </c>
      <c r="D350" s="5">
        <v>85</v>
      </c>
      <c r="E350" s="5">
        <v>65</v>
      </c>
      <c r="F350" s="5">
        <v>1975</v>
      </c>
      <c r="G350" s="4">
        <v>19.399999999999999</v>
      </c>
      <c r="H350" s="5">
        <v>81</v>
      </c>
      <c r="I350" s="6" t="s">
        <v>27</v>
      </c>
      <c r="J350" s="6" t="s">
        <v>276</v>
      </c>
      <c r="L350">
        <v>34.4</v>
      </c>
      <c r="M350">
        <v>4</v>
      </c>
      <c r="N350">
        <v>98</v>
      </c>
      <c r="O350">
        <v>65</v>
      </c>
      <c r="P350">
        <v>2045</v>
      </c>
      <c r="Q350">
        <v>16.2</v>
      </c>
      <c r="R350">
        <v>81</v>
      </c>
      <c r="S350" t="s">
        <v>12</v>
      </c>
      <c r="T350" t="s">
        <v>280</v>
      </c>
    </row>
    <row r="351" spans="2:20" x14ac:dyDescent="0.3">
      <c r="B351" s="5">
        <v>37.700000000000003</v>
      </c>
      <c r="C351" s="5">
        <v>4</v>
      </c>
      <c r="D351" s="5">
        <v>89</v>
      </c>
      <c r="E351" s="5">
        <v>62</v>
      </c>
      <c r="F351" s="5">
        <v>2050</v>
      </c>
      <c r="G351" s="4">
        <v>17.3</v>
      </c>
      <c r="H351" s="5">
        <v>81</v>
      </c>
      <c r="I351" s="6" t="s">
        <v>27</v>
      </c>
      <c r="J351" s="6" t="s">
        <v>277</v>
      </c>
      <c r="L351">
        <v>29.9</v>
      </c>
      <c r="M351">
        <v>4</v>
      </c>
      <c r="N351">
        <v>98</v>
      </c>
      <c r="O351">
        <v>65</v>
      </c>
      <c r="P351">
        <v>2380</v>
      </c>
      <c r="Q351">
        <v>20.7</v>
      </c>
      <c r="R351">
        <v>81</v>
      </c>
      <c r="S351" t="s">
        <v>12</v>
      </c>
      <c r="T351" t="s">
        <v>281</v>
      </c>
    </row>
    <row r="352" spans="2:20" x14ac:dyDescent="0.3">
      <c r="B352" s="5">
        <v>34.1</v>
      </c>
      <c r="C352" s="5">
        <v>4</v>
      </c>
      <c r="D352" s="5">
        <v>91</v>
      </c>
      <c r="E352" s="5">
        <v>68</v>
      </c>
      <c r="F352" s="5">
        <v>1985</v>
      </c>
      <c r="G352" s="4">
        <v>16</v>
      </c>
      <c r="H352" s="5">
        <v>81</v>
      </c>
      <c r="I352" s="6" t="s">
        <v>27</v>
      </c>
      <c r="J352" s="6" t="s">
        <v>278</v>
      </c>
      <c r="L352">
        <v>33</v>
      </c>
      <c r="M352">
        <v>4</v>
      </c>
      <c r="N352">
        <v>105</v>
      </c>
      <c r="O352">
        <v>74</v>
      </c>
      <c r="P352">
        <v>2190</v>
      </c>
      <c r="Q352">
        <v>14.2</v>
      </c>
      <c r="R352">
        <v>81</v>
      </c>
      <c r="S352" t="s">
        <v>33</v>
      </c>
      <c r="T352" t="s">
        <v>282</v>
      </c>
    </row>
    <row r="353" spans="2:20" x14ac:dyDescent="0.3">
      <c r="B353" s="5">
        <v>34.700000000000003</v>
      </c>
      <c r="C353" s="5">
        <v>4</v>
      </c>
      <c r="D353" s="5">
        <v>105</v>
      </c>
      <c r="E353" s="5">
        <v>63</v>
      </c>
      <c r="F353" s="5">
        <v>2215</v>
      </c>
      <c r="G353" s="4">
        <v>14.9</v>
      </c>
      <c r="H353" s="5">
        <v>81</v>
      </c>
      <c r="I353" s="6" t="s">
        <v>12</v>
      </c>
      <c r="J353" s="6" t="s">
        <v>279</v>
      </c>
      <c r="L353">
        <v>33.700000000000003</v>
      </c>
      <c r="M353">
        <v>4</v>
      </c>
      <c r="N353">
        <v>107</v>
      </c>
      <c r="O353">
        <v>75</v>
      </c>
      <c r="P353">
        <v>2210</v>
      </c>
      <c r="Q353">
        <v>14.4</v>
      </c>
      <c r="R353">
        <v>81</v>
      </c>
      <c r="S353" t="s">
        <v>27</v>
      </c>
      <c r="T353" t="s">
        <v>284</v>
      </c>
    </row>
    <row r="354" spans="2:20" x14ac:dyDescent="0.3">
      <c r="B354" s="5">
        <v>34.4</v>
      </c>
      <c r="C354" s="5">
        <v>4</v>
      </c>
      <c r="D354" s="5">
        <v>98</v>
      </c>
      <c r="E354" s="5">
        <v>65</v>
      </c>
      <c r="F354" s="5">
        <v>2045</v>
      </c>
      <c r="G354" s="4">
        <v>16.2</v>
      </c>
      <c r="H354" s="5">
        <v>81</v>
      </c>
      <c r="I354" s="6" t="s">
        <v>12</v>
      </c>
      <c r="J354" s="6" t="s">
        <v>280</v>
      </c>
      <c r="L354">
        <v>32.4</v>
      </c>
      <c r="M354">
        <v>4</v>
      </c>
      <c r="N354">
        <v>108</v>
      </c>
      <c r="O354">
        <v>75</v>
      </c>
      <c r="P354">
        <v>2350</v>
      </c>
      <c r="Q354">
        <v>16.8</v>
      </c>
      <c r="R354">
        <v>81</v>
      </c>
      <c r="S354" t="s">
        <v>27</v>
      </c>
      <c r="T354" t="s">
        <v>146</v>
      </c>
    </row>
    <row r="355" spans="2:20" x14ac:dyDescent="0.3">
      <c r="B355" s="5">
        <v>29.9</v>
      </c>
      <c r="C355" s="5">
        <v>4</v>
      </c>
      <c r="D355" s="5">
        <v>98</v>
      </c>
      <c r="E355" s="5">
        <v>65</v>
      </c>
      <c r="F355" s="5">
        <v>2380</v>
      </c>
      <c r="G355" s="4">
        <v>20.7</v>
      </c>
      <c r="H355" s="5">
        <v>81</v>
      </c>
      <c r="I355" s="6" t="s">
        <v>12</v>
      </c>
      <c r="J355" s="6" t="s">
        <v>281</v>
      </c>
      <c r="L355">
        <v>32.9</v>
      </c>
      <c r="M355">
        <v>4</v>
      </c>
      <c r="N355">
        <v>119</v>
      </c>
      <c r="O355">
        <v>100</v>
      </c>
      <c r="P355">
        <v>2615</v>
      </c>
      <c r="Q355">
        <v>14.8</v>
      </c>
      <c r="R355">
        <v>81</v>
      </c>
      <c r="S355" t="s">
        <v>27</v>
      </c>
      <c r="T355" t="s">
        <v>285</v>
      </c>
    </row>
    <row r="356" spans="2:20" x14ac:dyDescent="0.3">
      <c r="B356" s="5">
        <v>33</v>
      </c>
      <c r="C356" s="5">
        <v>4</v>
      </c>
      <c r="D356" s="5">
        <v>105</v>
      </c>
      <c r="E356" s="5">
        <v>74</v>
      </c>
      <c r="F356" s="5">
        <v>2190</v>
      </c>
      <c r="G356" s="4">
        <v>14.2</v>
      </c>
      <c r="H356" s="5">
        <v>81</v>
      </c>
      <c r="I356" s="6" t="s">
        <v>33</v>
      </c>
      <c r="J356" s="6" t="s">
        <v>282</v>
      </c>
      <c r="L356">
        <v>31.6</v>
      </c>
      <c r="M356">
        <v>4</v>
      </c>
      <c r="N356">
        <v>120</v>
      </c>
      <c r="O356">
        <v>74</v>
      </c>
      <c r="P356">
        <v>2635</v>
      </c>
      <c r="Q356">
        <v>18.3</v>
      </c>
      <c r="R356">
        <v>81</v>
      </c>
      <c r="S356" t="s">
        <v>27</v>
      </c>
      <c r="T356" t="s">
        <v>256</v>
      </c>
    </row>
    <row r="357" spans="2:20" x14ac:dyDescent="0.3">
      <c r="B357" s="5">
        <v>34.5</v>
      </c>
      <c r="C357" s="5">
        <v>4</v>
      </c>
      <c r="D357" s="5">
        <v>100</v>
      </c>
      <c r="E357" s="5"/>
      <c r="F357" s="5">
        <v>2320</v>
      </c>
      <c r="G357" s="4">
        <v>15.8</v>
      </c>
      <c r="H357" s="5">
        <v>81</v>
      </c>
      <c r="I357" s="6" t="s">
        <v>33</v>
      </c>
      <c r="J357" s="6" t="s">
        <v>283</v>
      </c>
      <c r="L357">
        <v>28.1</v>
      </c>
      <c r="M357">
        <v>4</v>
      </c>
      <c r="N357">
        <v>141</v>
      </c>
      <c r="O357">
        <v>80</v>
      </c>
      <c r="P357">
        <v>3230</v>
      </c>
      <c r="Q357">
        <v>20.399999999999999</v>
      </c>
      <c r="R357">
        <v>81</v>
      </c>
      <c r="S357" t="s">
        <v>33</v>
      </c>
      <c r="T357" t="s">
        <v>286</v>
      </c>
    </row>
    <row r="358" spans="2:20" x14ac:dyDescent="0.3">
      <c r="B358" s="5">
        <v>33.700000000000003</v>
      </c>
      <c r="C358" s="5">
        <v>4</v>
      </c>
      <c r="D358" s="5">
        <v>107</v>
      </c>
      <c r="E358" s="5">
        <v>75</v>
      </c>
      <c r="F358" s="5">
        <v>2210</v>
      </c>
      <c r="G358" s="4">
        <v>14.4</v>
      </c>
      <c r="H358" s="5">
        <v>81</v>
      </c>
      <c r="I358" s="6" t="s">
        <v>27</v>
      </c>
      <c r="J358" s="6" t="s">
        <v>284</v>
      </c>
      <c r="L358">
        <v>30.7</v>
      </c>
      <c r="M358">
        <v>6</v>
      </c>
      <c r="N358">
        <v>145</v>
      </c>
      <c r="O358">
        <v>76</v>
      </c>
      <c r="P358">
        <v>3160</v>
      </c>
      <c r="Q358">
        <v>19.600000000000001</v>
      </c>
      <c r="R358">
        <v>81</v>
      </c>
      <c r="S358" t="s">
        <v>33</v>
      </c>
      <c r="T358" t="s">
        <v>287</v>
      </c>
    </row>
    <row r="359" spans="2:20" x14ac:dyDescent="0.3">
      <c r="B359" s="5">
        <v>32.4</v>
      </c>
      <c r="C359" s="5">
        <v>4</v>
      </c>
      <c r="D359" s="5">
        <v>108</v>
      </c>
      <c r="E359" s="5">
        <v>75</v>
      </c>
      <c r="F359" s="5">
        <v>2350</v>
      </c>
      <c r="G359" s="4">
        <v>16.8</v>
      </c>
      <c r="H359" s="5">
        <v>81</v>
      </c>
      <c r="I359" s="6" t="s">
        <v>27</v>
      </c>
      <c r="J359" s="6" t="s">
        <v>146</v>
      </c>
      <c r="L359">
        <v>25.4</v>
      </c>
      <c r="M359">
        <v>6</v>
      </c>
      <c r="N359">
        <v>168</v>
      </c>
      <c r="O359">
        <v>116</v>
      </c>
      <c r="P359">
        <v>2900</v>
      </c>
      <c r="Q359">
        <v>12.6</v>
      </c>
      <c r="R359">
        <v>81</v>
      </c>
      <c r="S359" t="s">
        <v>27</v>
      </c>
      <c r="T359" t="s">
        <v>288</v>
      </c>
    </row>
    <row r="360" spans="2:20" x14ac:dyDescent="0.3">
      <c r="B360" s="5">
        <v>32.9</v>
      </c>
      <c r="C360" s="5">
        <v>4</v>
      </c>
      <c r="D360" s="5">
        <v>119</v>
      </c>
      <c r="E360" s="5">
        <v>100</v>
      </c>
      <c r="F360" s="5">
        <v>2615</v>
      </c>
      <c r="G360" s="4">
        <v>14.8</v>
      </c>
      <c r="H360" s="5">
        <v>81</v>
      </c>
      <c r="I360" s="6" t="s">
        <v>27</v>
      </c>
      <c r="J360" s="6" t="s">
        <v>285</v>
      </c>
      <c r="L360">
        <v>24.2</v>
      </c>
      <c r="M360">
        <v>6</v>
      </c>
      <c r="N360">
        <v>146</v>
      </c>
      <c r="O360">
        <v>120</v>
      </c>
      <c r="P360">
        <v>2930</v>
      </c>
      <c r="Q360">
        <v>13.8</v>
      </c>
      <c r="R360">
        <v>81</v>
      </c>
      <c r="S360" t="s">
        <v>27</v>
      </c>
      <c r="T360" t="s">
        <v>289</v>
      </c>
    </row>
    <row r="361" spans="2:20" x14ac:dyDescent="0.3">
      <c r="B361" s="5">
        <v>31.6</v>
      </c>
      <c r="C361" s="5">
        <v>4</v>
      </c>
      <c r="D361" s="5">
        <v>120</v>
      </c>
      <c r="E361" s="5">
        <v>74</v>
      </c>
      <c r="F361" s="5">
        <v>2635</v>
      </c>
      <c r="G361" s="4">
        <v>18.3</v>
      </c>
      <c r="H361" s="5">
        <v>81</v>
      </c>
      <c r="I361" s="6" t="s">
        <v>27</v>
      </c>
      <c r="J361" s="6" t="s">
        <v>256</v>
      </c>
      <c r="L361">
        <v>22.4</v>
      </c>
      <c r="M361">
        <v>6</v>
      </c>
      <c r="N361">
        <v>231</v>
      </c>
      <c r="O361">
        <v>110</v>
      </c>
      <c r="P361">
        <v>3415</v>
      </c>
      <c r="Q361">
        <v>15.8</v>
      </c>
      <c r="R361">
        <v>81</v>
      </c>
      <c r="S361" t="s">
        <v>12</v>
      </c>
      <c r="T361" t="s">
        <v>140</v>
      </c>
    </row>
    <row r="362" spans="2:20" x14ac:dyDescent="0.3">
      <c r="B362" s="5">
        <v>28.1</v>
      </c>
      <c r="C362" s="5">
        <v>4</v>
      </c>
      <c r="D362" s="5">
        <v>141</v>
      </c>
      <c r="E362" s="5">
        <v>80</v>
      </c>
      <c r="F362" s="5">
        <v>3230</v>
      </c>
      <c r="G362" s="4">
        <v>20.399999999999999</v>
      </c>
      <c r="H362" s="5">
        <v>81</v>
      </c>
      <c r="I362" s="6" t="s">
        <v>33</v>
      </c>
      <c r="J362" s="6" t="s">
        <v>286</v>
      </c>
      <c r="L362">
        <v>26.6</v>
      </c>
      <c r="M362">
        <v>8</v>
      </c>
      <c r="N362">
        <v>350</v>
      </c>
      <c r="O362">
        <v>105</v>
      </c>
      <c r="P362">
        <v>3725</v>
      </c>
      <c r="Q362">
        <v>19</v>
      </c>
      <c r="R362">
        <v>81</v>
      </c>
      <c r="S362" t="s">
        <v>12</v>
      </c>
      <c r="T362" t="s">
        <v>290</v>
      </c>
    </row>
    <row r="363" spans="2:20" x14ac:dyDescent="0.3">
      <c r="B363" s="5">
        <v>30.7</v>
      </c>
      <c r="C363" s="5">
        <v>6</v>
      </c>
      <c r="D363" s="5">
        <v>145</v>
      </c>
      <c r="E363" s="5">
        <v>76</v>
      </c>
      <c r="F363" s="5">
        <v>3160</v>
      </c>
      <c r="G363" s="4">
        <v>19.600000000000001</v>
      </c>
      <c r="H363" s="5">
        <v>81</v>
      </c>
      <c r="I363" s="6" t="s">
        <v>33</v>
      </c>
      <c r="J363" s="6" t="s">
        <v>287</v>
      </c>
      <c r="L363">
        <v>20.2</v>
      </c>
      <c r="M363">
        <v>6</v>
      </c>
      <c r="N363">
        <v>200</v>
      </c>
      <c r="O363">
        <v>88</v>
      </c>
      <c r="P363">
        <v>3060</v>
      </c>
      <c r="Q363">
        <v>17.100000000000001</v>
      </c>
      <c r="R363">
        <v>81</v>
      </c>
      <c r="S363" t="s">
        <v>12</v>
      </c>
      <c r="T363" t="s">
        <v>291</v>
      </c>
    </row>
    <row r="364" spans="2:20" x14ac:dyDescent="0.3">
      <c r="B364" s="5">
        <v>25.4</v>
      </c>
      <c r="C364" s="5">
        <v>6</v>
      </c>
      <c r="D364" s="5">
        <v>168</v>
      </c>
      <c r="E364" s="5">
        <v>116</v>
      </c>
      <c r="F364" s="5">
        <v>2900</v>
      </c>
      <c r="G364" s="4">
        <v>12.6</v>
      </c>
      <c r="H364" s="5">
        <v>81</v>
      </c>
      <c r="I364" s="6" t="s">
        <v>27</v>
      </c>
      <c r="J364" s="6" t="s">
        <v>288</v>
      </c>
      <c r="L364">
        <v>17.600000000000001</v>
      </c>
      <c r="M364">
        <v>6</v>
      </c>
      <c r="N364">
        <v>225</v>
      </c>
      <c r="O364">
        <v>85</v>
      </c>
      <c r="P364">
        <v>3465</v>
      </c>
      <c r="Q364">
        <v>16.600000000000001</v>
      </c>
      <c r="R364">
        <v>81</v>
      </c>
      <c r="S364" t="s">
        <v>12</v>
      </c>
      <c r="T364" t="s">
        <v>292</v>
      </c>
    </row>
    <row r="365" spans="2:20" x14ac:dyDescent="0.3">
      <c r="B365" s="5">
        <v>24.2</v>
      </c>
      <c r="C365" s="5">
        <v>6</v>
      </c>
      <c r="D365" s="5">
        <v>146</v>
      </c>
      <c r="E365" s="5">
        <v>120</v>
      </c>
      <c r="F365" s="5">
        <v>2930</v>
      </c>
      <c r="G365" s="4">
        <v>13.8</v>
      </c>
      <c r="H365" s="5">
        <v>81</v>
      </c>
      <c r="I365" s="6" t="s">
        <v>27</v>
      </c>
      <c r="J365" s="6" t="s">
        <v>289</v>
      </c>
      <c r="L365">
        <v>28</v>
      </c>
      <c r="M365">
        <v>4</v>
      </c>
      <c r="N365">
        <v>112</v>
      </c>
      <c r="O365">
        <v>88</v>
      </c>
      <c r="P365">
        <v>2605</v>
      </c>
      <c r="Q365">
        <v>19.600000000000001</v>
      </c>
      <c r="R365">
        <v>82</v>
      </c>
      <c r="S365" t="s">
        <v>12</v>
      </c>
      <c r="T365" t="s">
        <v>293</v>
      </c>
    </row>
    <row r="366" spans="2:20" x14ac:dyDescent="0.3">
      <c r="B366" s="5">
        <v>22.4</v>
      </c>
      <c r="C366" s="5">
        <v>6</v>
      </c>
      <c r="D366" s="5">
        <v>231</v>
      </c>
      <c r="E366" s="5">
        <v>110</v>
      </c>
      <c r="F366" s="5">
        <v>3415</v>
      </c>
      <c r="G366" s="4">
        <v>15.8</v>
      </c>
      <c r="H366" s="5">
        <v>81</v>
      </c>
      <c r="I366" s="6" t="s">
        <v>12</v>
      </c>
      <c r="J366" s="6" t="s">
        <v>140</v>
      </c>
      <c r="L366">
        <v>27</v>
      </c>
      <c r="M366">
        <v>4</v>
      </c>
      <c r="N366">
        <v>112</v>
      </c>
      <c r="O366">
        <v>88</v>
      </c>
      <c r="P366">
        <v>2640</v>
      </c>
      <c r="Q366">
        <v>18.600000000000001</v>
      </c>
      <c r="R366">
        <v>82</v>
      </c>
      <c r="S366" t="s">
        <v>12</v>
      </c>
      <c r="T366" t="s">
        <v>294</v>
      </c>
    </row>
    <row r="367" spans="2:20" x14ac:dyDescent="0.3">
      <c r="B367" s="5">
        <v>26.6</v>
      </c>
      <c r="C367" s="5">
        <v>8</v>
      </c>
      <c r="D367" s="5">
        <v>350</v>
      </c>
      <c r="E367" s="5">
        <v>105</v>
      </c>
      <c r="F367" s="5">
        <v>3725</v>
      </c>
      <c r="G367" s="4">
        <v>19</v>
      </c>
      <c r="H367" s="5">
        <v>81</v>
      </c>
      <c r="I367" s="6" t="s">
        <v>12</v>
      </c>
      <c r="J367" s="6" t="s">
        <v>290</v>
      </c>
      <c r="L367">
        <v>34</v>
      </c>
      <c r="M367">
        <v>4</v>
      </c>
      <c r="N367">
        <v>112</v>
      </c>
      <c r="O367">
        <v>88</v>
      </c>
      <c r="P367">
        <v>2395</v>
      </c>
      <c r="Q367">
        <v>18</v>
      </c>
      <c r="R367">
        <v>82</v>
      </c>
      <c r="S367" t="s">
        <v>12</v>
      </c>
      <c r="T367" t="s">
        <v>295</v>
      </c>
    </row>
    <row r="368" spans="2:20" x14ac:dyDescent="0.3">
      <c r="B368" s="5">
        <v>20.2</v>
      </c>
      <c r="C368" s="5">
        <v>6</v>
      </c>
      <c r="D368" s="5">
        <v>200</v>
      </c>
      <c r="E368" s="5">
        <v>88</v>
      </c>
      <c r="F368" s="5">
        <v>3060</v>
      </c>
      <c r="G368" s="4">
        <v>17.100000000000001</v>
      </c>
      <c r="H368" s="5">
        <v>81</v>
      </c>
      <c r="I368" s="6" t="s">
        <v>12</v>
      </c>
      <c r="J368" s="6" t="s">
        <v>291</v>
      </c>
      <c r="L368">
        <v>31</v>
      </c>
      <c r="M368">
        <v>4</v>
      </c>
      <c r="N368">
        <v>112</v>
      </c>
      <c r="O368">
        <v>85</v>
      </c>
      <c r="P368">
        <v>2575</v>
      </c>
      <c r="Q368">
        <v>16.2</v>
      </c>
      <c r="R368">
        <v>82</v>
      </c>
      <c r="S368" t="s">
        <v>12</v>
      </c>
      <c r="T368" t="s">
        <v>296</v>
      </c>
    </row>
    <row r="369" spans="2:20" x14ac:dyDescent="0.3">
      <c r="B369" s="5">
        <v>17.600000000000001</v>
      </c>
      <c r="C369" s="5">
        <v>6</v>
      </c>
      <c r="D369" s="5">
        <v>225</v>
      </c>
      <c r="E369" s="5">
        <v>85</v>
      </c>
      <c r="F369" s="5">
        <v>3465</v>
      </c>
      <c r="G369" s="4">
        <v>16.600000000000001</v>
      </c>
      <c r="H369" s="5">
        <v>81</v>
      </c>
      <c r="I369" s="6" t="s">
        <v>12</v>
      </c>
      <c r="J369" s="6" t="s">
        <v>292</v>
      </c>
      <c r="L369">
        <v>29</v>
      </c>
      <c r="M369">
        <v>4</v>
      </c>
      <c r="N369">
        <v>135</v>
      </c>
      <c r="O369">
        <v>84</v>
      </c>
      <c r="P369">
        <v>2525</v>
      </c>
      <c r="Q369">
        <v>16</v>
      </c>
      <c r="R369">
        <v>82</v>
      </c>
      <c r="S369" t="s">
        <v>12</v>
      </c>
      <c r="T369" t="s">
        <v>297</v>
      </c>
    </row>
    <row r="370" spans="2:20" x14ac:dyDescent="0.3">
      <c r="B370" s="5">
        <v>28</v>
      </c>
      <c r="C370" s="5">
        <v>4</v>
      </c>
      <c r="D370" s="5">
        <v>112</v>
      </c>
      <c r="E370" s="5">
        <v>88</v>
      </c>
      <c r="F370" s="5">
        <v>2605</v>
      </c>
      <c r="G370" s="4">
        <v>19.600000000000001</v>
      </c>
      <c r="H370" s="5">
        <v>82</v>
      </c>
      <c r="I370" s="6" t="s">
        <v>12</v>
      </c>
      <c r="J370" s="6" t="s">
        <v>293</v>
      </c>
      <c r="L370">
        <v>27</v>
      </c>
      <c r="M370">
        <v>4</v>
      </c>
      <c r="N370">
        <v>151</v>
      </c>
      <c r="O370">
        <v>90</v>
      </c>
      <c r="P370">
        <v>2735</v>
      </c>
      <c r="Q370">
        <v>18</v>
      </c>
      <c r="R370">
        <v>82</v>
      </c>
      <c r="S370" t="s">
        <v>12</v>
      </c>
      <c r="T370" t="s">
        <v>250</v>
      </c>
    </row>
    <row r="371" spans="2:20" x14ac:dyDescent="0.3">
      <c r="B371" s="5">
        <v>27</v>
      </c>
      <c r="C371" s="5">
        <v>4</v>
      </c>
      <c r="D371" s="5">
        <v>112</v>
      </c>
      <c r="E371" s="5">
        <v>88</v>
      </c>
      <c r="F371" s="5">
        <v>2640</v>
      </c>
      <c r="G371" s="4">
        <v>18.600000000000001</v>
      </c>
      <c r="H371" s="5">
        <v>82</v>
      </c>
      <c r="I371" s="6" t="s">
        <v>12</v>
      </c>
      <c r="J371" s="6" t="s">
        <v>294</v>
      </c>
      <c r="L371">
        <v>24</v>
      </c>
      <c r="M371">
        <v>4</v>
      </c>
      <c r="N371">
        <v>140</v>
      </c>
      <c r="O371">
        <v>92</v>
      </c>
      <c r="P371">
        <v>2865</v>
      </c>
      <c r="Q371">
        <v>16.399999999999999</v>
      </c>
      <c r="R371">
        <v>82</v>
      </c>
      <c r="S371" t="s">
        <v>12</v>
      </c>
      <c r="T371" t="s">
        <v>298</v>
      </c>
    </row>
    <row r="372" spans="2:20" x14ac:dyDescent="0.3">
      <c r="B372" s="5">
        <v>34</v>
      </c>
      <c r="C372" s="5">
        <v>4</v>
      </c>
      <c r="D372" s="5">
        <v>112</v>
      </c>
      <c r="E372" s="5">
        <v>88</v>
      </c>
      <c r="F372" s="5">
        <v>2395</v>
      </c>
      <c r="G372" s="4">
        <v>18</v>
      </c>
      <c r="H372" s="5">
        <v>82</v>
      </c>
      <c r="I372" s="6" t="s">
        <v>12</v>
      </c>
      <c r="J372" s="6" t="s">
        <v>295</v>
      </c>
      <c r="L372">
        <v>36</v>
      </c>
      <c r="M372">
        <v>4</v>
      </c>
      <c r="N372">
        <v>105</v>
      </c>
      <c r="O372">
        <v>74</v>
      </c>
      <c r="P372">
        <v>1980</v>
      </c>
      <c r="Q372">
        <v>15.3</v>
      </c>
      <c r="R372">
        <v>82</v>
      </c>
      <c r="S372" t="s">
        <v>33</v>
      </c>
      <c r="T372" t="s">
        <v>300</v>
      </c>
    </row>
    <row r="373" spans="2:20" x14ac:dyDescent="0.3">
      <c r="B373" s="5">
        <v>31</v>
      </c>
      <c r="C373" s="5">
        <v>4</v>
      </c>
      <c r="D373" s="5">
        <v>112</v>
      </c>
      <c r="E373" s="5">
        <v>85</v>
      </c>
      <c r="F373" s="5">
        <v>2575</v>
      </c>
      <c r="G373" s="4">
        <v>16.2</v>
      </c>
      <c r="H373" s="5">
        <v>82</v>
      </c>
      <c r="I373" s="6" t="s">
        <v>12</v>
      </c>
      <c r="J373" s="6" t="s">
        <v>296</v>
      </c>
      <c r="L373">
        <v>37</v>
      </c>
      <c r="M373">
        <v>4</v>
      </c>
      <c r="N373">
        <v>91</v>
      </c>
      <c r="O373">
        <v>68</v>
      </c>
      <c r="P373">
        <v>2025</v>
      </c>
      <c r="Q373">
        <v>18.2</v>
      </c>
      <c r="R373">
        <v>82</v>
      </c>
      <c r="S373" t="s">
        <v>27</v>
      </c>
      <c r="T373" t="s">
        <v>301</v>
      </c>
    </row>
    <row r="374" spans="2:20" x14ac:dyDescent="0.3">
      <c r="B374" s="5">
        <v>29</v>
      </c>
      <c r="C374" s="5">
        <v>4</v>
      </c>
      <c r="D374" s="5">
        <v>135</v>
      </c>
      <c r="E374" s="5">
        <v>84</v>
      </c>
      <c r="F374" s="5">
        <v>2525</v>
      </c>
      <c r="G374" s="4">
        <v>16</v>
      </c>
      <c r="H374" s="5">
        <v>82</v>
      </c>
      <c r="I374" s="6" t="s">
        <v>12</v>
      </c>
      <c r="J374" s="6" t="s">
        <v>297</v>
      </c>
      <c r="L374">
        <v>31</v>
      </c>
      <c r="M374">
        <v>4</v>
      </c>
      <c r="N374">
        <v>91</v>
      </c>
      <c r="O374">
        <v>68</v>
      </c>
      <c r="P374">
        <v>1970</v>
      </c>
      <c r="Q374">
        <v>17.600000000000001</v>
      </c>
      <c r="R374">
        <v>82</v>
      </c>
      <c r="S374" t="s">
        <v>27</v>
      </c>
      <c r="T374" t="s">
        <v>302</v>
      </c>
    </row>
    <row r="375" spans="2:20" x14ac:dyDescent="0.3">
      <c r="B375" s="5">
        <v>27</v>
      </c>
      <c r="C375" s="5">
        <v>4</v>
      </c>
      <c r="D375" s="5">
        <v>151</v>
      </c>
      <c r="E375" s="5">
        <v>90</v>
      </c>
      <c r="F375" s="5">
        <v>2735</v>
      </c>
      <c r="G375" s="4">
        <v>18</v>
      </c>
      <c r="H375" s="5">
        <v>82</v>
      </c>
      <c r="I375" s="6" t="s">
        <v>12</v>
      </c>
      <c r="J375" s="6" t="s">
        <v>250</v>
      </c>
      <c r="L375">
        <v>38</v>
      </c>
      <c r="M375">
        <v>4</v>
      </c>
      <c r="N375">
        <v>105</v>
      </c>
      <c r="O375">
        <v>63</v>
      </c>
      <c r="P375">
        <v>2125</v>
      </c>
      <c r="Q375">
        <v>14.7</v>
      </c>
      <c r="R375">
        <v>82</v>
      </c>
      <c r="S375" t="s">
        <v>12</v>
      </c>
      <c r="T375" t="s">
        <v>303</v>
      </c>
    </row>
    <row r="376" spans="2:20" x14ac:dyDescent="0.3">
      <c r="B376" s="5">
        <v>24</v>
      </c>
      <c r="C376" s="5">
        <v>4</v>
      </c>
      <c r="D376" s="5">
        <v>140</v>
      </c>
      <c r="E376" s="5">
        <v>92</v>
      </c>
      <c r="F376" s="5">
        <v>2865</v>
      </c>
      <c r="G376" s="4">
        <v>16.399999999999999</v>
      </c>
      <c r="H376" s="5">
        <v>82</v>
      </c>
      <c r="I376" s="6" t="s">
        <v>12</v>
      </c>
      <c r="J376" s="6" t="s">
        <v>298</v>
      </c>
      <c r="L376">
        <v>36</v>
      </c>
      <c r="M376">
        <v>4</v>
      </c>
      <c r="N376">
        <v>98</v>
      </c>
      <c r="O376">
        <v>70</v>
      </c>
      <c r="P376">
        <v>2125</v>
      </c>
      <c r="Q376">
        <v>17.3</v>
      </c>
      <c r="R376">
        <v>82</v>
      </c>
      <c r="S376" t="s">
        <v>12</v>
      </c>
      <c r="T376" t="s">
        <v>304</v>
      </c>
    </row>
    <row r="377" spans="2:20" x14ac:dyDescent="0.3">
      <c r="B377" s="5">
        <v>23</v>
      </c>
      <c r="C377" s="5">
        <v>4</v>
      </c>
      <c r="D377" s="5">
        <v>151</v>
      </c>
      <c r="E377" s="5"/>
      <c r="F377" s="5">
        <v>3035</v>
      </c>
      <c r="G377" s="4">
        <v>20.5</v>
      </c>
      <c r="H377" s="5">
        <v>82</v>
      </c>
      <c r="I377" s="6" t="s">
        <v>12</v>
      </c>
      <c r="J377" s="6" t="s">
        <v>299</v>
      </c>
      <c r="L377">
        <v>36</v>
      </c>
      <c r="M377">
        <v>4</v>
      </c>
      <c r="N377">
        <v>120</v>
      </c>
      <c r="O377">
        <v>88</v>
      </c>
      <c r="P377">
        <v>2160</v>
      </c>
      <c r="Q377">
        <v>14.5</v>
      </c>
      <c r="R377">
        <v>82</v>
      </c>
      <c r="S377" t="s">
        <v>27</v>
      </c>
      <c r="T377" t="s">
        <v>305</v>
      </c>
    </row>
    <row r="378" spans="2:20" x14ac:dyDescent="0.3">
      <c r="B378" s="5">
        <v>36</v>
      </c>
      <c r="C378" s="5">
        <v>4</v>
      </c>
      <c r="D378" s="5">
        <v>105</v>
      </c>
      <c r="E378" s="5">
        <v>74</v>
      </c>
      <c r="F378" s="5">
        <v>1980</v>
      </c>
      <c r="G378" s="4">
        <v>15.3</v>
      </c>
      <c r="H378" s="5">
        <v>82</v>
      </c>
      <c r="I378" s="6" t="s">
        <v>33</v>
      </c>
      <c r="J378" s="6" t="s">
        <v>300</v>
      </c>
      <c r="L378">
        <v>36</v>
      </c>
      <c r="M378">
        <v>4</v>
      </c>
      <c r="N378">
        <v>107</v>
      </c>
      <c r="O378">
        <v>75</v>
      </c>
      <c r="P378">
        <v>2205</v>
      </c>
      <c r="Q378">
        <v>14.5</v>
      </c>
      <c r="R378">
        <v>82</v>
      </c>
      <c r="S378" t="s">
        <v>27</v>
      </c>
      <c r="T378" t="s">
        <v>270</v>
      </c>
    </row>
    <row r="379" spans="2:20" x14ac:dyDescent="0.3">
      <c r="B379" s="5">
        <v>37</v>
      </c>
      <c r="C379" s="5">
        <v>4</v>
      </c>
      <c r="D379" s="5">
        <v>91</v>
      </c>
      <c r="E379" s="5">
        <v>68</v>
      </c>
      <c r="F379" s="5">
        <v>2025</v>
      </c>
      <c r="G379" s="4">
        <v>18.2</v>
      </c>
      <c r="H379" s="5">
        <v>82</v>
      </c>
      <c r="I379" s="6" t="s">
        <v>27</v>
      </c>
      <c r="J379" s="6" t="s">
        <v>301</v>
      </c>
      <c r="L379">
        <v>34</v>
      </c>
      <c r="M379">
        <v>4</v>
      </c>
      <c r="N379">
        <v>108</v>
      </c>
      <c r="O379">
        <v>70</v>
      </c>
      <c r="P379">
        <v>2245</v>
      </c>
      <c r="Q379">
        <v>16.899999999999999</v>
      </c>
      <c r="R379">
        <v>82</v>
      </c>
      <c r="S379" t="s">
        <v>27</v>
      </c>
      <c r="T379" t="s">
        <v>146</v>
      </c>
    </row>
    <row r="380" spans="2:20" x14ac:dyDescent="0.3">
      <c r="B380" s="5">
        <v>31</v>
      </c>
      <c r="C380" s="5">
        <v>4</v>
      </c>
      <c r="D380" s="5">
        <v>91</v>
      </c>
      <c r="E380" s="5">
        <v>68</v>
      </c>
      <c r="F380" s="5">
        <v>1970</v>
      </c>
      <c r="G380" s="4">
        <v>17.600000000000001</v>
      </c>
      <c r="H380" s="5">
        <v>82</v>
      </c>
      <c r="I380" s="6" t="s">
        <v>27</v>
      </c>
      <c r="J380" s="6" t="s">
        <v>302</v>
      </c>
      <c r="L380">
        <v>38</v>
      </c>
      <c r="M380">
        <v>4</v>
      </c>
      <c r="N380">
        <v>91</v>
      </c>
      <c r="O380">
        <v>67</v>
      </c>
      <c r="P380">
        <v>1965</v>
      </c>
      <c r="Q380">
        <v>15</v>
      </c>
      <c r="R380">
        <v>82</v>
      </c>
      <c r="S380" t="s">
        <v>27</v>
      </c>
      <c r="T380" t="s">
        <v>133</v>
      </c>
    </row>
    <row r="381" spans="2:20" x14ac:dyDescent="0.3">
      <c r="B381" s="5">
        <v>38</v>
      </c>
      <c r="C381" s="5">
        <v>4</v>
      </c>
      <c r="D381" s="5">
        <v>105</v>
      </c>
      <c r="E381" s="5">
        <v>63</v>
      </c>
      <c r="F381" s="5">
        <v>2125</v>
      </c>
      <c r="G381" s="4">
        <v>14.7</v>
      </c>
      <c r="H381" s="5">
        <v>82</v>
      </c>
      <c r="I381" s="6" t="s">
        <v>12</v>
      </c>
      <c r="J381" s="6" t="s">
        <v>303</v>
      </c>
      <c r="L381">
        <v>32</v>
      </c>
      <c r="M381">
        <v>4</v>
      </c>
      <c r="N381">
        <v>91</v>
      </c>
      <c r="O381">
        <v>67</v>
      </c>
      <c r="P381">
        <v>1965</v>
      </c>
      <c r="Q381">
        <v>15.7</v>
      </c>
      <c r="R381">
        <v>82</v>
      </c>
      <c r="S381" t="s">
        <v>27</v>
      </c>
      <c r="T381" t="s">
        <v>306</v>
      </c>
    </row>
    <row r="382" spans="2:20" x14ac:dyDescent="0.3">
      <c r="B382" s="5">
        <v>36</v>
      </c>
      <c r="C382" s="5">
        <v>4</v>
      </c>
      <c r="D382" s="5">
        <v>98</v>
      </c>
      <c r="E382" s="5">
        <v>70</v>
      </c>
      <c r="F382" s="5">
        <v>2125</v>
      </c>
      <c r="G382" s="4">
        <v>17.3</v>
      </c>
      <c r="H382" s="5">
        <v>82</v>
      </c>
      <c r="I382" s="6" t="s">
        <v>12</v>
      </c>
      <c r="J382" s="6" t="s">
        <v>304</v>
      </c>
      <c r="L382">
        <v>38</v>
      </c>
      <c r="M382">
        <v>4</v>
      </c>
      <c r="N382">
        <v>91</v>
      </c>
      <c r="O382">
        <v>67</v>
      </c>
      <c r="P382">
        <v>1995</v>
      </c>
      <c r="Q382">
        <v>16.2</v>
      </c>
      <c r="R382">
        <v>82</v>
      </c>
      <c r="S382" t="s">
        <v>27</v>
      </c>
      <c r="T382" t="s">
        <v>307</v>
      </c>
    </row>
    <row r="383" spans="2:20" x14ac:dyDescent="0.3">
      <c r="B383" s="5">
        <v>36</v>
      </c>
      <c r="C383" s="5">
        <v>4</v>
      </c>
      <c r="D383" s="5">
        <v>120</v>
      </c>
      <c r="E383" s="5">
        <v>88</v>
      </c>
      <c r="F383" s="5">
        <v>2160</v>
      </c>
      <c r="G383" s="4">
        <v>14.5</v>
      </c>
      <c r="H383" s="5">
        <v>82</v>
      </c>
      <c r="I383" s="6" t="s">
        <v>27</v>
      </c>
      <c r="J383" s="6" t="s">
        <v>305</v>
      </c>
      <c r="L383">
        <v>25</v>
      </c>
      <c r="M383">
        <v>6</v>
      </c>
      <c r="N383">
        <v>181</v>
      </c>
      <c r="O383">
        <v>110</v>
      </c>
      <c r="P383">
        <v>2945</v>
      </c>
      <c r="Q383">
        <v>16.399999999999999</v>
      </c>
      <c r="R383">
        <v>82</v>
      </c>
      <c r="S383" t="s">
        <v>12</v>
      </c>
      <c r="T383" t="s">
        <v>308</v>
      </c>
    </row>
    <row r="384" spans="2:20" x14ac:dyDescent="0.3">
      <c r="B384" s="5">
        <v>36</v>
      </c>
      <c r="C384" s="5">
        <v>4</v>
      </c>
      <c r="D384" s="5">
        <v>107</v>
      </c>
      <c r="E384" s="5">
        <v>75</v>
      </c>
      <c r="F384" s="5">
        <v>2205</v>
      </c>
      <c r="G384" s="4">
        <v>14.5</v>
      </c>
      <c r="H384" s="5">
        <v>82</v>
      </c>
      <c r="I384" s="6" t="s">
        <v>27</v>
      </c>
      <c r="J384" s="6" t="s">
        <v>270</v>
      </c>
      <c r="L384">
        <v>38</v>
      </c>
      <c r="M384">
        <v>6</v>
      </c>
      <c r="N384">
        <v>262</v>
      </c>
      <c r="O384">
        <v>85</v>
      </c>
      <c r="P384">
        <v>3015</v>
      </c>
      <c r="Q384">
        <v>17</v>
      </c>
      <c r="R384">
        <v>82</v>
      </c>
      <c r="S384" t="s">
        <v>12</v>
      </c>
      <c r="T384" t="s">
        <v>309</v>
      </c>
    </row>
    <row r="385" spans="2:20" x14ac:dyDescent="0.3">
      <c r="B385" s="5">
        <v>34</v>
      </c>
      <c r="C385" s="5">
        <v>4</v>
      </c>
      <c r="D385" s="5">
        <v>108</v>
      </c>
      <c r="E385" s="5">
        <v>70</v>
      </c>
      <c r="F385" s="5">
        <v>2245</v>
      </c>
      <c r="G385" s="4">
        <v>16.899999999999999</v>
      </c>
      <c r="H385" s="5">
        <v>82</v>
      </c>
      <c r="I385" s="6" t="s">
        <v>27</v>
      </c>
      <c r="J385" s="6" t="s">
        <v>146</v>
      </c>
      <c r="L385">
        <v>26</v>
      </c>
      <c r="M385">
        <v>4</v>
      </c>
      <c r="N385">
        <v>156</v>
      </c>
      <c r="O385">
        <v>92</v>
      </c>
      <c r="P385">
        <v>2585</v>
      </c>
      <c r="Q385">
        <v>14.5</v>
      </c>
      <c r="R385">
        <v>82</v>
      </c>
      <c r="S385" t="s">
        <v>12</v>
      </c>
      <c r="T385" t="s">
        <v>310</v>
      </c>
    </row>
    <row r="386" spans="2:20" x14ac:dyDescent="0.3">
      <c r="B386" s="5">
        <v>38</v>
      </c>
      <c r="C386" s="5">
        <v>4</v>
      </c>
      <c r="D386" s="5">
        <v>91</v>
      </c>
      <c r="E386" s="5">
        <v>67</v>
      </c>
      <c r="F386" s="5">
        <v>1965</v>
      </c>
      <c r="G386" s="4">
        <v>15</v>
      </c>
      <c r="H386" s="5">
        <v>82</v>
      </c>
      <c r="I386" s="6" t="s">
        <v>27</v>
      </c>
      <c r="J386" s="6" t="s">
        <v>133</v>
      </c>
      <c r="L386">
        <v>22</v>
      </c>
      <c r="M386">
        <v>6</v>
      </c>
      <c r="N386">
        <v>232</v>
      </c>
      <c r="O386">
        <v>112</v>
      </c>
      <c r="P386">
        <v>2835</v>
      </c>
      <c r="Q386">
        <v>14.7</v>
      </c>
      <c r="R386">
        <v>82</v>
      </c>
      <c r="S386" t="s">
        <v>12</v>
      </c>
      <c r="T386" t="s">
        <v>311</v>
      </c>
    </row>
    <row r="387" spans="2:20" x14ac:dyDescent="0.3">
      <c r="B387" s="5">
        <v>32</v>
      </c>
      <c r="C387" s="5">
        <v>4</v>
      </c>
      <c r="D387" s="5">
        <v>91</v>
      </c>
      <c r="E387" s="5">
        <v>67</v>
      </c>
      <c r="F387" s="5">
        <v>1965</v>
      </c>
      <c r="G387" s="4">
        <v>15.7</v>
      </c>
      <c r="H387" s="5">
        <v>82</v>
      </c>
      <c r="I387" s="6" t="s">
        <v>27</v>
      </c>
      <c r="J387" s="6" t="s">
        <v>306</v>
      </c>
      <c r="L387">
        <v>32</v>
      </c>
      <c r="M387">
        <v>4</v>
      </c>
      <c r="N387">
        <v>144</v>
      </c>
      <c r="O387">
        <v>96</v>
      </c>
      <c r="P387">
        <v>2665</v>
      </c>
      <c r="Q387">
        <v>13.9</v>
      </c>
      <c r="R387">
        <v>82</v>
      </c>
      <c r="S387" t="s">
        <v>27</v>
      </c>
      <c r="T387" t="s">
        <v>312</v>
      </c>
    </row>
    <row r="388" spans="2:20" x14ac:dyDescent="0.3">
      <c r="B388" s="5">
        <v>38</v>
      </c>
      <c r="C388" s="5">
        <v>4</v>
      </c>
      <c r="D388" s="5">
        <v>91</v>
      </c>
      <c r="E388" s="5">
        <v>67</v>
      </c>
      <c r="F388" s="5">
        <v>1995</v>
      </c>
      <c r="G388" s="4">
        <v>16.2</v>
      </c>
      <c r="H388" s="5">
        <v>82</v>
      </c>
      <c r="I388" s="6" t="s">
        <v>27</v>
      </c>
      <c r="J388" s="6" t="s">
        <v>307</v>
      </c>
      <c r="L388">
        <v>36</v>
      </c>
      <c r="M388">
        <v>4</v>
      </c>
      <c r="N388">
        <v>135</v>
      </c>
      <c r="O388">
        <v>84</v>
      </c>
      <c r="P388">
        <v>2370</v>
      </c>
      <c r="Q388">
        <v>13</v>
      </c>
      <c r="R388">
        <v>82</v>
      </c>
      <c r="S388" t="s">
        <v>12</v>
      </c>
      <c r="T388" t="s">
        <v>313</v>
      </c>
    </row>
    <row r="389" spans="2:20" x14ac:dyDescent="0.3">
      <c r="B389" s="5">
        <v>25</v>
      </c>
      <c r="C389" s="5">
        <v>6</v>
      </c>
      <c r="D389" s="5">
        <v>181</v>
      </c>
      <c r="E389" s="5">
        <v>110</v>
      </c>
      <c r="F389" s="5">
        <v>2945</v>
      </c>
      <c r="G389" s="4">
        <v>16.399999999999999</v>
      </c>
      <c r="H389" s="5">
        <v>82</v>
      </c>
      <c r="I389" s="6" t="s">
        <v>12</v>
      </c>
      <c r="J389" s="6" t="s">
        <v>308</v>
      </c>
      <c r="L389">
        <v>27</v>
      </c>
      <c r="M389">
        <v>4</v>
      </c>
      <c r="N389">
        <v>151</v>
      </c>
      <c r="O389">
        <v>90</v>
      </c>
      <c r="P389">
        <v>2950</v>
      </c>
      <c r="Q389">
        <v>17.3</v>
      </c>
      <c r="R389">
        <v>82</v>
      </c>
      <c r="S389" t="s">
        <v>12</v>
      </c>
      <c r="T389" t="s">
        <v>314</v>
      </c>
    </row>
    <row r="390" spans="2:20" x14ac:dyDescent="0.3">
      <c r="B390" s="5">
        <v>38</v>
      </c>
      <c r="C390" s="5">
        <v>6</v>
      </c>
      <c r="D390" s="5">
        <v>262</v>
      </c>
      <c r="E390" s="5">
        <v>85</v>
      </c>
      <c r="F390" s="5">
        <v>3015</v>
      </c>
      <c r="G390" s="4">
        <v>17</v>
      </c>
      <c r="H390" s="5">
        <v>82</v>
      </c>
      <c r="I390" s="6" t="s">
        <v>12</v>
      </c>
      <c r="J390" s="6" t="s">
        <v>309</v>
      </c>
      <c r="L390">
        <v>27</v>
      </c>
      <c r="M390">
        <v>4</v>
      </c>
      <c r="N390">
        <v>140</v>
      </c>
      <c r="O390">
        <v>86</v>
      </c>
      <c r="P390">
        <v>2790</v>
      </c>
      <c r="Q390">
        <v>15.6</v>
      </c>
      <c r="R390">
        <v>82</v>
      </c>
      <c r="S390" t="s">
        <v>12</v>
      </c>
      <c r="T390" t="s">
        <v>315</v>
      </c>
    </row>
    <row r="391" spans="2:20" x14ac:dyDescent="0.3">
      <c r="B391" s="5">
        <v>26</v>
      </c>
      <c r="C391" s="5">
        <v>4</v>
      </c>
      <c r="D391" s="5">
        <v>156</v>
      </c>
      <c r="E391" s="5">
        <v>92</v>
      </c>
      <c r="F391" s="5">
        <v>2585</v>
      </c>
      <c r="G391" s="4">
        <v>14.5</v>
      </c>
      <c r="H391" s="5">
        <v>82</v>
      </c>
      <c r="I391" s="6" t="s">
        <v>12</v>
      </c>
      <c r="J391" s="6" t="s">
        <v>310</v>
      </c>
      <c r="L391">
        <v>44</v>
      </c>
      <c r="M391">
        <v>4</v>
      </c>
      <c r="N391">
        <v>97</v>
      </c>
      <c r="O391">
        <v>52</v>
      </c>
      <c r="P391">
        <v>2130</v>
      </c>
      <c r="Q391">
        <v>24.6</v>
      </c>
      <c r="R391">
        <v>82</v>
      </c>
      <c r="S391" t="s">
        <v>33</v>
      </c>
      <c r="T391" t="s">
        <v>316</v>
      </c>
    </row>
    <row r="392" spans="2:20" x14ac:dyDescent="0.3">
      <c r="B392" s="5">
        <v>22</v>
      </c>
      <c r="C392" s="5">
        <v>6</v>
      </c>
      <c r="D392" s="5">
        <v>232</v>
      </c>
      <c r="E392" s="5">
        <v>112</v>
      </c>
      <c r="F392" s="5">
        <v>2835</v>
      </c>
      <c r="G392" s="4">
        <v>14.7</v>
      </c>
      <c r="H392" s="5">
        <v>82</v>
      </c>
      <c r="I392" s="6" t="s">
        <v>12</v>
      </c>
      <c r="J392" s="6" t="s">
        <v>311</v>
      </c>
      <c r="L392">
        <v>32</v>
      </c>
      <c r="M392">
        <v>4</v>
      </c>
      <c r="N392">
        <v>135</v>
      </c>
      <c r="O392">
        <v>84</v>
      </c>
      <c r="P392">
        <v>2295</v>
      </c>
      <c r="Q392">
        <v>11.6</v>
      </c>
      <c r="R392">
        <v>82</v>
      </c>
      <c r="S392" t="s">
        <v>12</v>
      </c>
      <c r="T392" t="s">
        <v>317</v>
      </c>
    </row>
    <row r="393" spans="2:20" x14ac:dyDescent="0.3">
      <c r="B393" s="5">
        <v>32</v>
      </c>
      <c r="C393" s="5">
        <v>4</v>
      </c>
      <c r="D393" s="5">
        <v>144</v>
      </c>
      <c r="E393" s="5">
        <v>96</v>
      </c>
      <c r="F393" s="5">
        <v>2665</v>
      </c>
      <c r="G393" s="4">
        <v>13.9</v>
      </c>
      <c r="H393" s="5">
        <v>82</v>
      </c>
      <c r="I393" s="6" t="s">
        <v>27</v>
      </c>
      <c r="J393" s="6" t="s">
        <v>312</v>
      </c>
      <c r="L393">
        <v>28</v>
      </c>
      <c r="M393">
        <v>4</v>
      </c>
      <c r="N393">
        <v>120</v>
      </c>
      <c r="O393">
        <v>79</v>
      </c>
      <c r="P393">
        <v>2625</v>
      </c>
      <c r="Q393">
        <v>18.600000000000001</v>
      </c>
      <c r="R393">
        <v>82</v>
      </c>
      <c r="S393" t="s">
        <v>12</v>
      </c>
      <c r="T393" t="s">
        <v>318</v>
      </c>
    </row>
    <row r="394" spans="2:20" x14ac:dyDescent="0.3">
      <c r="B394" s="5">
        <v>36</v>
      </c>
      <c r="C394" s="5">
        <v>4</v>
      </c>
      <c r="D394" s="5">
        <v>135</v>
      </c>
      <c r="E394" s="5">
        <v>84</v>
      </c>
      <c r="F394" s="5">
        <v>2370</v>
      </c>
      <c r="G394" s="4">
        <v>13</v>
      </c>
      <c r="H394" s="5">
        <v>82</v>
      </c>
      <c r="I394" s="6" t="s">
        <v>12</v>
      </c>
      <c r="J394" s="6" t="s">
        <v>313</v>
      </c>
      <c r="L394">
        <v>31</v>
      </c>
      <c r="M394">
        <v>4</v>
      </c>
      <c r="N394">
        <v>119</v>
      </c>
      <c r="O394">
        <v>82</v>
      </c>
      <c r="P394">
        <v>2720</v>
      </c>
      <c r="Q394">
        <v>19.399999999999999</v>
      </c>
      <c r="R394">
        <v>82</v>
      </c>
      <c r="S394" t="s">
        <v>12</v>
      </c>
      <c r="T394" t="s">
        <v>319</v>
      </c>
    </row>
    <row r="395" spans="2:20" x14ac:dyDescent="0.3">
      <c r="B395" s="5">
        <v>27</v>
      </c>
      <c r="C395" s="5">
        <v>4</v>
      </c>
      <c r="D395" s="5">
        <v>151</v>
      </c>
      <c r="E395" s="5">
        <v>90</v>
      </c>
      <c r="F395" s="5">
        <v>2950</v>
      </c>
      <c r="G395" s="4">
        <v>17.3</v>
      </c>
      <c r="H395" s="5">
        <v>82</v>
      </c>
      <c r="I395" s="6" t="s">
        <v>12</v>
      </c>
      <c r="J395" s="6" t="s">
        <v>314</v>
      </c>
    </row>
    <row r="396" spans="2:20" x14ac:dyDescent="0.3">
      <c r="B396" s="5">
        <v>27</v>
      </c>
      <c r="C396" s="5">
        <v>4</v>
      </c>
      <c r="D396" s="5">
        <v>140</v>
      </c>
      <c r="E396" s="5">
        <v>86</v>
      </c>
      <c r="F396" s="5">
        <v>2790</v>
      </c>
      <c r="G396" s="4">
        <v>15.6</v>
      </c>
      <c r="H396" s="5">
        <v>82</v>
      </c>
      <c r="I396" s="6" t="s">
        <v>12</v>
      </c>
      <c r="J396" s="6" t="s">
        <v>315</v>
      </c>
    </row>
    <row r="397" spans="2:20" x14ac:dyDescent="0.3">
      <c r="B397" s="5">
        <v>44</v>
      </c>
      <c r="C397" s="5">
        <v>4</v>
      </c>
      <c r="D397" s="5">
        <v>97</v>
      </c>
      <c r="E397" s="5">
        <v>52</v>
      </c>
      <c r="F397" s="5">
        <v>2130</v>
      </c>
      <c r="G397" s="4">
        <v>24.6</v>
      </c>
      <c r="H397" s="5">
        <v>82</v>
      </c>
      <c r="I397" s="6" t="s">
        <v>33</v>
      </c>
      <c r="J397" s="6" t="s">
        <v>316</v>
      </c>
    </row>
    <row r="398" spans="2:20" x14ac:dyDescent="0.3">
      <c r="B398" s="5">
        <v>32</v>
      </c>
      <c r="C398" s="5">
        <v>4</v>
      </c>
      <c r="D398" s="5">
        <v>135</v>
      </c>
      <c r="E398" s="5">
        <v>84</v>
      </c>
      <c r="F398" s="5">
        <v>2295</v>
      </c>
      <c r="G398" s="4">
        <v>11.6</v>
      </c>
      <c r="H398" s="5">
        <v>82</v>
      </c>
      <c r="I398" s="6" t="s">
        <v>12</v>
      </c>
      <c r="J398" s="6" t="s">
        <v>317</v>
      </c>
    </row>
    <row r="399" spans="2:20" x14ac:dyDescent="0.3">
      <c r="B399" s="5">
        <v>28</v>
      </c>
      <c r="C399" s="5">
        <v>4</v>
      </c>
      <c r="D399" s="5">
        <v>120</v>
      </c>
      <c r="E399" s="5">
        <v>79</v>
      </c>
      <c r="F399" s="5">
        <v>2625</v>
      </c>
      <c r="G399" s="4">
        <v>18.600000000000001</v>
      </c>
      <c r="H399" s="5">
        <v>82</v>
      </c>
      <c r="I399" s="6" t="s">
        <v>12</v>
      </c>
      <c r="J399" s="6" t="s">
        <v>318</v>
      </c>
    </row>
    <row r="400" spans="2:20" x14ac:dyDescent="0.3">
      <c r="B400" s="5">
        <v>31</v>
      </c>
      <c r="C400" s="5">
        <v>4</v>
      </c>
      <c r="D400" s="5">
        <v>119</v>
      </c>
      <c r="E400" s="5">
        <v>82</v>
      </c>
      <c r="F400" s="5">
        <v>2720</v>
      </c>
      <c r="G400" s="4">
        <v>19.399999999999999</v>
      </c>
      <c r="H400" s="5">
        <v>82</v>
      </c>
      <c r="I400" s="6" t="s">
        <v>12</v>
      </c>
      <c r="J400" s="6" t="s">
        <v>319</v>
      </c>
    </row>
  </sheetData>
  <pageMargins left="0.7" right="0.7" top="0.75" bottom="0.75" header="0.3" footer="0.3"/>
  <legacyDrawing r:id="rId1"/>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812E19-35D0-4A24-A10F-1C66FABBCF02}">
  <sheetPr>
    <tabColor theme="6" tint="0.79998168889431442"/>
  </sheetPr>
  <dimension ref="B2:M27"/>
  <sheetViews>
    <sheetView workbookViewId="0">
      <selection activeCell="D9" sqref="D9"/>
    </sheetView>
  </sheetViews>
  <sheetFormatPr defaultRowHeight="14.4" x14ac:dyDescent="0.3"/>
  <cols>
    <col min="2" max="2" width="29.109375" customWidth="1"/>
    <col min="4" max="4" width="15.5546875" customWidth="1"/>
    <col min="5" max="6" width="12.77734375" bestFit="1" customWidth="1"/>
    <col min="7" max="7" width="13.6640625" bestFit="1" customWidth="1"/>
    <col min="8" max="8" width="12.5546875" bestFit="1" customWidth="1"/>
    <col min="9" max="9" width="14.6640625" bestFit="1" customWidth="1"/>
    <col min="10" max="10" width="12.109375" bestFit="1" customWidth="1"/>
    <col min="11" max="11" width="12.77734375" bestFit="1" customWidth="1"/>
    <col min="12" max="13" width="5.6640625" bestFit="1" customWidth="1"/>
  </cols>
  <sheetData>
    <row r="2" spans="2:13" x14ac:dyDescent="0.3">
      <c r="B2" s="1" t="s">
        <v>321</v>
      </c>
      <c r="D2" s="1" t="s">
        <v>325</v>
      </c>
    </row>
    <row r="3" spans="2:13" x14ac:dyDescent="0.3">
      <c r="B3" t="s">
        <v>326</v>
      </c>
    </row>
    <row r="4" spans="2:13" x14ac:dyDescent="0.3">
      <c r="B4" t="str" cm="1">
        <f t="array" ref="B4">_xll.RScript.CreateDataFrame("mpg", tMPG_1[#Data], tMPG_1[#Headers])</f>
        <v>mpg</v>
      </c>
    </row>
    <row r="6" spans="2:13" x14ac:dyDescent="0.3">
      <c r="B6" t="s">
        <v>328</v>
      </c>
    </row>
    <row r="7" spans="2:13" x14ac:dyDescent="0.3">
      <c r="B7" t="s">
        <v>329</v>
      </c>
      <c r="D7" s="1" t="str" cm="1">
        <f t="array" ref="D7:M27">_xll.RScript.Evaluate(B7)</f>
        <v>Index</v>
      </c>
      <c r="E7" s="1" t="str">
        <v>mpg</v>
      </c>
      <c r="F7" s="1" t="str">
        <v>cylinders</v>
      </c>
      <c r="G7" s="1" t="str">
        <v>displacement</v>
      </c>
      <c r="H7" s="1" t="str">
        <v>horsepower</v>
      </c>
      <c r="I7" s="1" t="str">
        <v>weight</v>
      </c>
      <c r="J7" s="1" t="str">
        <v>acceleration</v>
      </c>
      <c r="K7" s="1" t="str">
        <v>model_year</v>
      </c>
      <c r="L7" s="1" t="str">
        <v>origin</v>
      </c>
      <c r="M7" s="1" t="str">
        <v>name</v>
      </c>
    </row>
    <row r="8" spans="2:13" x14ac:dyDescent="0.3">
      <c r="D8" s="1" t="str">
        <v>nbr.val</v>
      </c>
      <c r="E8" s="7">
        <v>392</v>
      </c>
      <c r="F8" s="7">
        <v>392</v>
      </c>
      <c r="G8" s="7">
        <v>392</v>
      </c>
      <c r="H8" s="7">
        <v>392</v>
      </c>
      <c r="I8" s="7">
        <v>392</v>
      </c>
      <c r="J8" s="7">
        <v>392</v>
      </c>
      <c r="K8" s="7">
        <v>392</v>
      </c>
      <c r="L8" s="7" t="b">
        <v>1</v>
      </c>
      <c r="M8" s="7" t="b">
        <v>1</v>
      </c>
    </row>
    <row r="9" spans="2:13" x14ac:dyDescent="0.3">
      <c r="D9" s="1" t="str">
        <v>nbr.null</v>
      </c>
      <c r="E9" s="7">
        <v>0</v>
      </c>
      <c r="F9" s="7">
        <v>0</v>
      </c>
      <c r="G9" s="7">
        <v>0</v>
      </c>
      <c r="H9" s="7">
        <v>0</v>
      </c>
      <c r="I9" s="7">
        <v>0</v>
      </c>
      <c r="J9" s="7">
        <v>0</v>
      </c>
      <c r="K9" s="7">
        <v>0</v>
      </c>
      <c r="L9" s="7" t="b">
        <v>1</v>
      </c>
      <c r="M9" s="7" t="b">
        <v>1</v>
      </c>
    </row>
    <row r="10" spans="2:13" x14ac:dyDescent="0.3">
      <c r="D10" s="1" t="str">
        <v>nbr.na</v>
      </c>
      <c r="E10" s="7">
        <v>0</v>
      </c>
      <c r="F10" s="7">
        <v>0</v>
      </c>
      <c r="G10" s="7">
        <v>0</v>
      </c>
      <c r="H10" s="7">
        <v>0</v>
      </c>
      <c r="I10" s="7">
        <v>0</v>
      </c>
      <c r="J10" s="7">
        <v>0</v>
      </c>
      <c r="K10" s="7">
        <v>0</v>
      </c>
      <c r="L10" s="7" t="b">
        <v>1</v>
      </c>
      <c r="M10" s="7" t="b">
        <v>1</v>
      </c>
    </row>
    <row r="11" spans="2:13" x14ac:dyDescent="0.3">
      <c r="D11" s="1" t="str">
        <v>min</v>
      </c>
      <c r="E11" s="7">
        <v>9</v>
      </c>
      <c r="F11" s="7">
        <v>3</v>
      </c>
      <c r="G11" s="7">
        <v>68</v>
      </c>
      <c r="H11" s="7">
        <v>46</v>
      </c>
      <c r="I11" s="7">
        <v>1613</v>
      </c>
      <c r="J11" s="7">
        <v>8</v>
      </c>
      <c r="K11" s="7">
        <v>70</v>
      </c>
      <c r="L11" s="7" t="b">
        <v>1</v>
      </c>
      <c r="M11" s="7" t="b">
        <v>1</v>
      </c>
    </row>
    <row r="12" spans="2:13" x14ac:dyDescent="0.3">
      <c r="D12" s="1" t="str">
        <v>max</v>
      </c>
      <c r="E12" s="7">
        <v>46.6</v>
      </c>
      <c r="F12" s="7">
        <v>8</v>
      </c>
      <c r="G12" s="7">
        <v>455</v>
      </c>
      <c r="H12" s="7">
        <v>230</v>
      </c>
      <c r="I12" s="7">
        <v>5140</v>
      </c>
      <c r="J12" s="7">
        <v>24.8</v>
      </c>
      <c r="K12" s="7">
        <v>82</v>
      </c>
      <c r="L12" s="7" t="b">
        <v>1</v>
      </c>
      <c r="M12" s="7" t="b">
        <v>1</v>
      </c>
    </row>
    <row r="13" spans="2:13" x14ac:dyDescent="0.3">
      <c r="D13" s="1" t="str">
        <v>range</v>
      </c>
      <c r="E13" s="7">
        <v>37.6</v>
      </c>
      <c r="F13" s="7">
        <v>5</v>
      </c>
      <c r="G13" s="7">
        <v>387</v>
      </c>
      <c r="H13" s="7">
        <v>184</v>
      </c>
      <c r="I13" s="7">
        <v>3527</v>
      </c>
      <c r="J13" s="7">
        <v>16.8</v>
      </c>
      <c r="K13" s="7">
        <v>12</v>
      </c>
      <c r="L13" s="7" t="b">
        <v>1</v>
      </c>
      <c r="M13" s="7" t="b">
        <v>1</v>
      </c>
    </row>
    <row r="14" spans="2:13" x14ac:dyDescent="0.3">
      <c r="D14" s="1" t="str">
        <v>sum</v>
      </c>
      <c r="E14" s="7">
        <v>9190.7999999999993</v>
      </c>
      <c r="F14" s="7">
        <v>2145</v>
      </c>
      <c r="G14" s="7">
        <v>76209.5</v>
      </c>
      <c r="H14" s="7">
        <v>40952</v>
      </c>
      <c r="I14" s="7">
        <v>1167213</v>
      </c>
      <c r="J14" s="7">
        <v>6092.2</v>
      </c>
      <c r="K14" s="7">
        <v>29784</v>
      </c>
      <c r="L14" s="7" t="b">
        <v>1</v>
      </c>
      <c r="M14" s="7" t="b">
        <v>1</v>
      </c>
    </row>
    <row r="15" spans="2:13" x14ac:dyDescent="0.3">
      <c r="D15" s="1" t="str">
        <v>median</v>
      </c>
      <c r="E15" s="7">
        <v>22.75</v>
      </c>
      <c r="F15" s="7">
        <v>4</v>
      </c>
      <c r="G15" s="7">
        <v>151</v>
      </c>
      <c r="H15" s="7">
        <v>93.5</v>
      </c>
      <c r="I15" s="7">
        <v>2803.5</v>
      </c>
      <c r="J15" s="7">
        <v>15.5</v>
      </c>
      <c r="K15" s="7">
        <v>76</v>
      </c>
      <c r="L15" s="7" t="b">
        <v>1</v>
      </c>
      <c r="M15" s="7" t="b">
        <v>1</v>
      </c>
    </row>
    <row r="16" spans="2:13" x14ac:dyDescent="0.3">
      <c r="D16" s="1" t="str">
        <v>mean</v>
      </c>
      <c r="E16" s="8">
        <v>23.445918367346938</v>
      </c>
      <c r="F16" s="8">
        <v>5.4719387755102042</v>
      </c>
      <c r="G16" s="8">
        <v>194.41198979591837</v>
      </c>
      <c r="H16" s="8">
        <v>104.46938775510205</v>
      </c>
      <c r="I16" s="8">
        <v>2977.5841836734694</v>
      </c>
      <c r="J16" s="8">
        <v>15.541326530612245</v>
      </c>
      <c r="K16" s="8">
        <v>75.979591836734699</v>
      </c>
      <c r="L16" s="7" t="b">
        <v>1</v>
      </c>
      <c r="M16" s="7" t="b">
        <v>1</v>
      </c>
    </row>
    <row r="17" spans="4:13" x14ac:dyDescent="0.3">
      <c r="D17" s="1" t="str">
        <v>SE.mean</v>
      </c>
      <c r="E17" s="8">
        <v>0.39421240864047785</v>
      </c>
      <c r="F17" s="8">
        <v>8.6155064393448194E-2</v>
      </c>
      <c r="G17" s="8">
        <v>5.2853203410355762</v>
      </c>
      <c r="H17" s="8">
        <v>1.9440971574456398</v>
      </c>
      <c r="I17" s="8">
        <v>42.901307868827359</v>
      </c>
      <c r="J17" s="8">
        <v>0.13934368050358173</v>
      </c>
      <c r="K17" s="8">
        <v>0.1860567921477555</v>
      </c>
      <c r="L17" s="7" t="b">
        <v>1</v>
      </c>
      <c r="M17" s="7" t="b">
        <v>1</v>
      </c>
    </row>
    <row r="18" spans="4:13" x14ac:dyDescent="0.3">
      <c r="D18" s="1" t="str">
        <v>CI.mean.0.95</v>
      </c>
      <c r="E18" s="8">
        <v>0.77504117957383289</v>
      </c>
      <c r="F18" s="8">
        <v>0.16938513671865496</v>
      </c>
      <c r="G18" s="8">
        <v>10.391202361358578</v>
      </c>
      <c r="H18" s="8">
        <v>3.8221915928754209</v>
      </c>
      <c r="I18" s="8">
        <v>84.346102575985654</v>
      </c>
      <c r="J18" s="8">
        <v>0.27395659836306357</v>
      </c>
      <c r="K18" s="8">
        <v>0.36579689652902825</v>
      </c>
      <c r="L18" s="7" t="b">
        <v>1</v>
      </c>
      <c r="M18" s="7" t="b">
        <v>1</v>
      </c>
    </row>
    <row r="19" spans="4:13" x14ac:dyDescent="0.3">
      <c r="D19" s="1" t="str">
        <v>var</v>
      </c>
      <c r="E19" s="8">
        <v>60.918141865441832</v>
      </c>
      <c r="F19" s="8">
        <v>2.9096964872905682</v>
      </c>
      <c r="G19" s="8">
        <v>10950.367554086852</v>
      </c>
      <c r="H19" s="8">
        <v>1481.5693929745812</v>
      </c>
      <c r="I19" s="8">
        <v>721484.70900751604</v>
      </c>
      <c r="J19" s="8">
        <v>7.6113312281434311</v>
      </c>
      <c r="K19" s="8">
        <v>13.569914922490735</v>
      </c>
      <c r="L19" s="7" t="b">
        <v>1</v>
      </c>
      <c r="M19" s="7" t="b">
        <v>1</v>
      </c>
    </row>
    <row r="20" spans="4:13" x14ac:dyDescent="0.3">
      <c r="D20" s="1" t="str">
        <v>std.dev</v>
      </c>
      <c r="E20" s="8">
        <v>7.8050074865717987</v>
      </c>
      <c r="F20" s="8">
        <v>1.7057832474527848</v>
      </c>
      <c r="G20" s="8">
        <v>104.64400390890465</v>
      </c>
      <c r="H20" s="8">
        <v>38.491159932828488</v>
      </c>
      <c r="I20" s="8">
        <v>849.40256004294929</v>
      </c>
      <c r="J20" s="8">
        <v>2.7588641191880821</v>
      </c>
      <c r="K20" s="8">
        <v>3.6837365435778295</v>
      </c>
      <c r="L20" s="7" t="b">
        <v>1</v>
      </c>
      <c r="M20" s="7" t="b">
        <v>1</v>
      </c>
    </row>
    <row r="21" spans="4:13" x14ac:dyDescent="0.3">
      <c r="D21" s="1" t="str">
        <v>coef.var</v>
      </c>
      <c r="E21" s="8">
        <v>0.33289408264091758</v>
      </c>
      <c r="F21" s="8">
        <v>0.31173288251817788</v>
      </c>
      <c r="G21" s="8">
        <v>0.53825900356636147</v>
      </c>
      <c r="H21" s="8">
        <v>0.36844439083973352</v>
      </c>
      <c r="I21" s="8">
        <v>0.28526567433436412</v>
      </c>
      <c r="J21" s="8">
        <v>0.17751793025864682</v>
      </c>
      <c r="K21" s="8">
        <v>4.8483236807766221E-2</v>
      </c>
      <c r="L21" s="7" t="b">
        <v>1</v>
      </c>
      <c r="M21" s="7" t="b">
        <v>1</v>
      </c>
    </row>
    <row r="22" spans="4:13" x14ac:dyDescent="0.3">
      <c r="D22" s="1" t="str">
        <v>skewness</v>
      </c>
      <c r="E22" s="8">
        <v>0.45360011677088963</v>
      </c>
      <c r="F22" s="8">
        <v>0.50422726242069404</v>
      </c>
      <c r="G22" s="8">
        <v>0.69630831559027684</v>
      </c>
      <c r="H22" s="8">
        <v>1.0790190597922649</v>
      </c>
      <c r="I22" s="8">
        <v>0.51561601570162785</v>
      </c>
      <c r="J22" s="8">
        <v>0.28935918826910989</v>
      </c>
      <c r="K22" s="8">
        <v>1.9537880117715851E-2</v>
      </c>
      <c r="L22" s="7" t="b">
        <v>1</v>
      </c>
      <c r="M22" s="7" t="b">
        <v>1</v>
      </c>
    </row>
    <row r="23" spans="4:13" x14ac:dyDescent="0.3">
      <c r="D23" s="1" t="str">
        <v>skew.2SE</v>
      </c>
      <c r="E23" s="8">
        <v>1.8401924779803867</v>
      </c>
      <c r="F23" s="8">
        <v>2.0455797544864107</v>
      </c>
      <c r="G23" s="8">
        <v>2.8248258263822659</v>
      </c>
      <c r="H23" s="8">
        <v>4.3774299961878302</v>
      </c>
      <c r="I23" s="8">
        <v>2.0917823398612607</v>
      </c>
      <c r="J23" s="8">
        <v>1.1738899131639264</v>
      </c>
      <c r="K23" s="8">
        <v>7.9262457611895001E-2</v>
      </c>
      <c r="L23" s="7" t="b">
        <v>1</v>
      </c>
      <c r="M23" s="7" t="b">
        <v>1</v>
      </c>
    </row>
    <row r="24" spans="4:13" x14ac:dyDescent="0.3">
      <c r="D24" s="1" t="str">
        <v>kurtosis</v>
      </c>
      <c r="E24" s="8">
        <v>-0.53731554333408527</v>
      </c>
      <c r="F24" s="8">
        <v>-1.4038700128669117</v>
      </c>
      <c r="G24" s="8">
        <v>-0.79498525582101731</v>
      </c>
      <c r="H24" s="8">
        <v>0.65410689957850154</v>
      </c>
      <c r="I24" s="8">
        <v>-0.82537878230248118</v>
      </c>
      <c r="J24" s="8">
        <v>0.40587669121449821</v>
      </c>
      <c r="K24" s="8">
        <v>-1.1772112361408742</v>
      </c>
      <c r="L24" s="7" t="b">
        <v>1</v>
      </c>
      <c r="M24" s="7" t="b">
        <v>1</v>
      </c>
    </row>
    <row r="25" spans="4:13" x14ac:dyDescent="0.3">
      <c r="D25" s="1" t="str">
        <v>kurt.2SE</v>
      </c>
      <c r="E25" s="8">
        <v>-1.0926344813616564</v>
      </c>
      <c r="F25" s="8">
        <v>-2.8547783559171687</v>
      </c>
      <c r="G25" s="8">
        <v>-1.6166074357243678</v>
      </c>
      <c r="H25" s="8">
        <v>1.3301304267903156</v>
      </c>
      <c r="I25" s="8">
        <v>-1.6784128598477079</v>
      </c>
      <c r="J25" s="8">
        <v>0.82535276245712519</v>
      </c>
      <c r="K25" s="8">
        <v>-2.3938663312669948</v>
      </c>
      <c r="L25" s="7" t="b">
        <v>1</v>
      </c>
      <c r="M25" s="7" t="b">
        <v>1</v>
      </c>
    </row>
    <row r="26" spans="4:13" x14ac:dyDescent="0.3">
      <c r="D26" s="1" t="str">
        <v>normtest.W</v>
      </c>
      <c r="E26" s="8">
        <v>0.96716962156641939</v>
      </c>
      <c r="F26" s="8">
        <v>0.75065968159361696</v>
      </c>
      <c r="G26" s="8">
        <v>0.88183594112678176</v>
      </c>
      <c r="H26" s="8">
        <v>0.90409748782389998</v>
      </c>
      <c r="I26" s="8">
        <v>0.94146607393242454</v>
      </c>
      <c r="J26" s="8">
        <v>0.99186713639922131</v>
      </c>
      <c r="K26" s="8">
        <v>0.9469665939784816</v>
      </c>
      <c r="L26" s="7" t="b">
        <v>1</v>
      </c>
      <c r="M26" s="7" t="b">
        <v>1</v>
      </c>
    </row>
    <row r="27" spans="4:13" x14ac:dyDescent="0.3">
      <c r="D27" s="1" t="str">
        <v>normtest.p</v>
      </c>
      <c r="E27" s="8">
        <v>1.0494405382804953E-7</v>
      </c>
      <c r="F27" s="8">
        <v>6.8802413270666092E-24</v>
      </c>
      <c r="G27" s="8">
        <v>8.9836361331958086E-17</v>
      </c>
      <c r="H27" s="8">
        <v>5.0220689766168479E-15</v>
      </c>
      <c r="I27" s="8">
        <v>2.6016854178190008E-11</v>
      </c>
      <c r="J27" s="8">
        <v>3.0528860864288031E-2</v>
      </c>
      <c r="K27" s="8">
        <v>1.2226167114074609E-10</v>
      </c>
      <c r="L27" s="7" t="b">
        <v>1</v>
      </c>
      <c r="M27" s="7" t="b">
        <v>1</v>
      </c>
    </row>
  </sheetData>
  <conditionalFormatting sqref="B6:B7">
    <cfRule type="beginsWith" dxfId="5" priority="1" operator="beginsWith" text="#">
      <formula>LEFT(B6,LEN("#"))="#"</formula>
    </cfRule>
  </conditionalFormatting>
  <conditionalFormatting sqref="B2:D3">
    <cfRule type="beginsWith" dxfId="4" priority="2" operator="beginsWith" text="#">
      <formula>LEFT(B2,LEN("#"))="#"</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1093F2-DABA-4C06-BE1B-1CD3A8DA1025}">
  <sheetPr>
    <tabColor theme="6" tint="0.79998168889431442"/>
  </sheetPr>
  <dimension ref="B2:D37"/>
  <sheetViews>
    <sheetView topLeftCell="A31" workbookViewId="0">
      <selection activeCell="D38" sqref="D38"/>
    </sheetView>
  </sheetViews>
  <sheetFormatPr defaultRowHeight="14.4" x14ac:dyDescent="0.3"/>
  <cols>
    <col min="2" max="2" width="57.44140625" customWidth="1"/>
    <col min="4" max="4" width="13.21875" customWidth="1"/>
  </cols>
  <sheetData>
    <row r="2" spans="2:4" x14ac:dyDescent="0.3">
      <c r="B2" s="1" t="s">
        <v>321</v>
      </c>
      <c r="D2" s="1" t="s">
        <v>325</v>
      </c>
    </row>
    <row r="3" spans="2:4" x14ac:dyDescent="0.3">
      <c r="B3" t="s">
        <v>330</v>
      </c>
    </row>
    <row r="4" spans="2:4" x14ac:dyDescent="0.3">
      <c r="B4" t="s">
        <v>331</v>
      </c>
      <c r="D4" t="str" cm="1">
        <f t="array" ref="D4">_xll.RScript.Evaluate(B4, TRUE)</f>
        <v>OK</v>
      </c>
    </row>
    <row r="18" spans="2:4" x14ac:dyDescent="0.3">
      <c r="B18" s="14" t="s">
        <v>341</v>
      </c>
      <c r="C18" s="14"/>
    </row>
    <row r="19" spans="2:4" x14ac:dyDescent="0.3">
      <c r="B19" t="s">
        <v>338</v>
      </c>
      <c r="C19" t="s">
        <v>339</v>
      </c>
    </row>
    <row r="20" spans="2:4" x14ac:dyDescent="0.3">
      <c r="B20" t="s">
        <v>342</v>
      </c>
      <c r="C20" t="s">
        <v>346</v>
      </c>
    </row>
    <row r="21" spans="2:4" x14ac:dyDescent="0.3">
      <c r="B21" t="s">
        <v>332</v>
      </c>
      <c r="C21" s="9" t="s">
        <v>343</v>
      </c>
    </row>
    <row r="22" spans="2:4" x14ac:dyDescent="0.3">
      <c r="B22" t="s">
        <v>333</v>
      </c>
      <c r="C22" s="9" t="s">
        <v>344</v>
      </c>
    </row>
    <row r="23" spans="2:4" x14ac:dyDescent="0.3">
      <c r="B23" t="s">
        <v>334</v>
      </c>
      <c r="C23" s="9" t="s">
        <v>345</v>
      </c>
    </row>
    <row r="24" spans="2:4" x14ac:dyDescent="0.3">
      <c r="B24" t="s">
        <v>335</v>
      </c>
      <c r="C24">
        <v>100</v>
      </c>
      <c r="D24" t="s">
        <v>336</v>
      </c>
    </row>
    <row r="25" spans="2:4" x14ac:dyDescent="0.3">
      <c r="D25" t="s">
        <v>337</v>
      </c>
    </row>
    <row r="26" spans="2:4" x14ac:dyDescent="0.3">
      <c r="D26" t="s">
        <v>340</v>
      </c>
    </row>
    <row r="28" spans="2:4" x14ac:dyDescent="0.3">
      <c r="C28" t="str" cm="1">
        <f t="array" ref="C28">_xll.RScript.Function("h",C19,B20:C24)</f>
        <v>h</v>
      </c>
    </row>
    <row r="30" spans="2:4" x14ac:dyDescent="0.3">
      <c r="B30" t="s">
        <v>348</v>
      </c>
    </row>
    <row r="31" spans="2:4" ht="72" x14ac:dyDescent="0.3">
      <c r="B31" s="10" t="s">
        <v>349</v>
      </c>
      <c r="D31" t="str" cm="1">
        <f t="array" ref="D31">_xll.RScript.Evaluate(B31, TRUE)</f>
        <v>OK</v>
      </c>
    </row>
    <row r="34" spans="2:4" ht="72" x14ac:dyDescent="0.3">
      <c r="B34" s="10" t="s">
        <v>350</v>
      </c>
      <c r="D34" t="str" cm="1">
        <f t="array" ref="D34">_xll.RScript.Evaluate(B34, TRUE)</f>
        <v>OK</v>
      </c>
    </row>
    <row r="37" spans="2:4" ht="86.4" x14ac:dyDescent="0.3">
      <c r="B37" s="10" t="s">
        <v>351</v>
      </c>
      <c r="D37" t="str" cm="1">
        <f t="array" ref="D37">_xll.RScript.Evaluate(B37, TRUE)</f>
        <v>OK</v>
      </c>
    </row>
  </sheetData>
  <mergeCells count="1">
    <mergeCell ref="B18:C18"/>
  </mergeCells>
  <conditionalFormatting sqref="B30">
    <cfRule type="beginsWith" dxfId="3" priority="1" operator="beginsWith" text="#">
      <formula>LEFT(B30,LEN("#"))="#"</formula>
    </cfRule>
  </conditionalFormatting>
  <conditionalFormatting sqref="B2:D3">
    <cfRule type="beginsWith" dxfId="2" priority="2" operator="beginsWith" text="#">
      <formula>LEFT(B2,LEN("#"))="#"</formula>
    </cfRule>
  </conditionalFormatting>
  <pageMargins left="0.7" right="0.7" top="0.75" bottom="0.75" header="0.3" footer="0.3"/>
  <drawing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ADDC3D-2D54-43C5-B490-05E3042E2E68}">
  <sheetPr>
    <tabColor theme="6" tint="0.79998168889431442"/>
  </sheetPr>
  <dimension ref="B2:D36"/>
  <sheetViews>
    <sheetView topLeftCell="A16" workbookViewId="0">
      <selection activeCell="C36" sqref="C36"/>
    </sheetView>
  </sheetViews>
  <sheetFormatPr defaultRowHeight="14.4" x14ac:dyDescent="0.3"/>
  <cols>
    <col min="2" max="2" width="33.33203125" customWidth="1"/>
  </cols>
  <sheetData>
    <row r="2" spans="2:4" x14ac:dyDescent="0.3">
      <c r="B2" s="1" t="s">
        <v>321</v>
      </c>
      <c r="D2" s="1" t="s">
        <v>325</v>
      </c>
    </row>
    <row r="3" spans="2:4" x14ac:dyDescent="0.3">
      <c r="B3" t="s">
        <v>352</v>
      </c>
    </row>
    <row r="4" spans="2:4" x14ac:dyDescent="0.3">
      <c r="B4" t="s">
        <v>353</v>
      </c>
      <c r="D4" t="str" cm="1">
        <f t="array" ref="D4">_xll.RScript.Evaluate(B4, TRUE)</f>
        <v>OK</v>
      </c>
    </row>
    <row r="21" spans="2:3" x14ac:dyDescent="0.3">
      <c r="B21" s="14" t="s">
        <v>341</v>
      </c>
      <c r="C21" s="14"/>
    </row>
    <row r="22" spans="2:3" x14ac:dyDescent="0.3">
      <c r="B22" t="s">
        <v>338</v>
      </c>
      <c r="C22" t="s">
        <v>363</v>
      </c>
    </row>
    <row r="23" spans="2:3" x14ac:dyDescent="0.3">
      <c r="B23" t="s">
        <v>354</v>
      </c>
      <c r="C23" t="s">
        <v>365</v>
      </c>
    </row>
    <row r="24" spans="2:3" x14ac:dyDescent="0.3">
      <c r="B24" t="s">
        <v>355</v>
      </c>
      <c r="C24" t="s">
        <v>366</v>
      </c>
    </row>
    <row r="25" spans="2:3" x14ac:dyDescent="0.3">
      <c r="B25" t="s">
        <v>368</v>
      </c>
      <c r="C25" t="b">
        <v>1</v>
      </c>
    </row>
    <row r="26" spans="2:3" x14ac:dyDescent="0.3">
      <c r="B26" t="s">
        <v>356</v>
      </c>
    </row>
    <row r="27" spans="2:3" x14ac:dyDescent="0.3">
      <c r="B27" t="s">
        <v>332</v>
      </c>
      <c r="C27" t="s">
        <v>367</v>
      </c>
    </row>
    <row r="28" spans="2:3" x14ac:dyDescent="0.3">
      <c r="B28" t="s">
        <v>333</v>
      </c>
      <c r="C28" t="s">
        <v>343</v>
      </c>
    </row>
    <row r="29" spans="2:3" x14ac:dyDescent="0.3">
      <c r="B29" t="s">
        <v>357</v>
      </c>
    </row>
    <row r="30" spans="2:3" x14ac:dyDescent="0.3">
      <c r="B30" t="s">
        <v>358</v>
      </c>
    </row>
    <row r="31" spans="2:3" x14ac:dyDescent="0.3">
      <c r="B31" t="s">
        <v>359</v>
      </c>
      <c r="C31" t="b">
        <v>1</v>
      </c>
    </row>
    <row r="32" spans="2:3" x14ac:dyDescent="0.3">
      <c r="B32" t="s">
        <v>360</v>
      </c>
    </row>
    <row r="33" spans="2:3" x14ac:dyDescent="0.3">
      <c r="B33" t="s">
        <v>361</v>
      </c>
    </row>
    <row r="34" spans="2:3" x14ac:dyDescent="0.3">
      <c r="B34" t="s">
        <v>362</v>
      </c>
    </row>
    <row r="36" spans="2:3" x14ac:dyDescent="0.3">
      <c r="B36" t="s">
        <v>364</v>
      </c>
      <c r="C36" t="str" cm="1">
        <f t="array" ref="C36">_xll.RScript.Function(B36,C22,B23:C34)</f>
        <v>b</v>
      </c>
    </row>
  </sheetData>
  <mergeCells count="1">
    <mergeCell ref="B21:C21"/>
  </mergeCells>
  <conditionalFormatting sqref="B2:D3">
    <cfRule type="beginsWith" dxfId="1" priority="1" operator="beginsWith" text="#">
      <formula>LEFT(B2,LEN("#"))="#"</formula>
    </cfRule>
  </conditionalFormatting>
  <pageMargins left="0.7" right="0.7" top="0.75" bottom="0.75" header="0.3" footer="0.3"/>
  <drawing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539B6-845D-4A00-8DD2-48A9F3A5D776}">
  <sheetPr>
    <tabColor theme="6" tint="0.79998168889431442"/>
  </sheetPr>
  <dimension ref="B2:I16"/>
  <sheetViews>
    <sheetView tabSelected="1" workbookViewId="0">
      <selection activeCell="D15" sqref="D15"/>
    </sheetView>
  </sheetViews>
  <sheetFormatPr defaultRowHeight="14.4" x14ac:dyDescent="0.3"/>
  <cols>
    <col min="2" max="2" width="40.6640625" customWidth="1"/>
    <col min="4" max="4" width="11.88671875" bestFit="1" customWidth="1"/>
    <col min="5" max="5" width="7.21875" bestFit="1" customWidth="1"/>
    <col min="6" max="6" width="8.21875" bestFit="1" customWidth="1"/>
    <col min="7" max="7" width="11.88671875" bestFit="1" customWidth="1"/>
    <col min="8" max="8" width="10.5546875" bestFit="1" customWidth="1"/>
    <col min="9" max="9" width="7.21875" bestFit="1" customWidth="1"/>
  </cols>
  <sheetData>
    <row r="2" spans="2:9" x14ac:dyDescent="0.3">
      <c r="B2" s="1" t="s">
        <v>321</v>
      </c>
      <c r="D2" s="1" t="s">
        <v>325</v>
      </c>
    </row>
    <row r="3" spans="2:9" x14ac:dyDescent="0.3">
      <c r="B3" t="s">
        <v>370</v>
      </c>
    </row>
    <row r="4" spans="2:9" x14ac:dyDescent="0.3">
      <c r="B4" t="s">
        <v>371</v>
      </c>
      <c r="D4" t="str" cm="1">
        <f t="array" ref="D4">_xll.RScript.Evaluate(B4)</f>
        <v>mat</v>
      </c>
    </row>
    <row r="6" spans="2:9" x14ac:dyDescent="0.3">
      <c r="B6" t="s">
        <v>372</v>
      </c>
      <c r="D6" s="13" t="str" cm="1">
        <f t="array" ref="D6:I11">_xll.RScript.Evaluate(B7, "df")</f>
        <v>Index</v>
      </c>
      <c r="E6" s="13" t="str">
        <v>mpg</v>
      </c>
      <c r="F6" s="13" t="str">
        <v>cylinders</v>
      </c>
      <c r="G6" s="13" t="str">
        <v>displacement</v>
      </c>
      <c r="H6" s="13" t="str">
        <v>horsepower</v>
      </c>
      <c r="I6" s="13" t="str">
        <v>weight</v>
      </c>
    </row>
    <row r="7" spans="2:9" x14ac:dyDescent="0.3">
      <c r="B7" t="str" cm="1">
        <f t="array" ref="B7">_xll.RScript.Evaluate(B6)</f>
        <v>res</v>
      </c>
      <c r="D7" s="13" t="str">
        <v>mpg</v>
      </c>
      <c r="E7" s="12">
        <v>1</v>
      </c>
      <c r="F7" s="11">
        <v>-0.77761750812602248</v>
      </c>
      <c r="G7" s="11">
        <v>-0.80512694671045781</v>
      </c>
      <c r="H7" s="11">
        <v>-0.77842678389777598</v>
      </c>
      <c r="I7" s="11">
        <v>-0.83224421483157551</v>
      </c>
    </row>
    <row r="8" spans="2:9" x14ac:dyDescent="0.3">
      <c r="D8" s="13" t="str">
        <v>cylinders</v>
      </c>
      <c r="E8" s="11">
        <v>-0.77761750812602248</v>
      </c>
      <c r="F8" s="12">
        <v>1</v>
      </c>
      <c r="G8" s="11">
        <v>0.95082330082778255</v>
      </c>
      <c r="H8" s="11">
        <v>0.84298335691865633</v>
      </c>
      <c r="I8" s="11">
        <v>0.89752734034081705</v>
      </c>
    </row>
    <row r="9" spans="2:9" x14ac:dyDescent="0.3">
      <c r="D9" s="13" t="str">
        <v>displacement</v>
      </c>
      <c r="E9" s="11">
        <v>-0.80512694671045781</v>
      </c>
      <c r="F9" s="11">
        <v>0.95082330082778255</v>
      </c>
      <c r="G9" s="12">
        <v>1</v>
      </c>
      <c r="H9" s="11">
        <v>0.89725700184346902</v>
      </c>
      <c r="I9" s="11">
        <v>0.93299440408901058</v>
      </c>
    </row>
    <row r="10" spans="2:9" x14ac:dyDescent="0.3">
      <c r="D10" s="13" t="str">
        <v>horsepower</v>
      </c>
      <c r="E10" s="11">
        <v>-0.77842678389777598</v>
      </c>
      <c r="F10" s="11">
        <v>0.84298335691865633</v>
      </c>
      <c r="G10" s="11">
        <v>0.89725700184346902</v>
      </c>
      <c r="H10" s="12">
        <v>1</v>
      </c>
      <c r="I10" s="11">
        <v>0.8645377375741442</v>
      </c>
    </row>
    <row r="11" spans="2:9" x14ac:dyDescent="0.3">
      <c r="D11" s="13" t="str">
        <v>weight</v>
      </c>
      <c r="E11" s="11">
        <v>-0.83224421483157551</v>
      </c>
      <c r="F11" s="11">
        <v>0.89752734034081705</v>
      </c>
      <c r="G11" s="11">
        <v>0.93299440408901058</v>
      </c>
      <c r="H11" s="11">
        <v>0.8645377375741442</v>
      </c>
      <c r="I11" s="12">
        <v>1</v>
      </c>
    </row>
    <row r="14" spans="2:9" ht="28.8" x14ac:dyDescent="0.3">
      <c r="B14" s="10" t="s">
        <v>374</v>
      </c>
      <c r="D14" t="str" cm="1">
        <f t="array" ref="D14:D16">_xll.RScript.Evaluate(B14)</f>
        <v>corr</v>
      </c>
    </row>
    <row r="15" spans="2:9" x14ac:dyDescent="0.3">
      <c r="D15" t="str">
        <v>corrPos</v>
      </c>
    </row>
    <row r="16" spans="2:9" x14ac:dyDescent="0.3">
      <c r="D16" t="str">
        <v>arg</v>
      </c>
    </row>
  </sheetData>
  <conditionalFormatting sqref="B2:D3">
    <cfRule type="beginsWith" dxfId="0" priority="1" operator="beginsWith" text="#">
      <formula>LEFT(B2,LEN("#"))="#"</formula>
    </cfRule>
  </conditionalFormatting>
  <pageMargins left="0.7" right="0.7" top="0.75" bottom="0.75" header="0.3" footer="0.3"/>
  <drawing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632DA39-49EF-4F76-9E89-048A204150D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References</vt:lpstr>
      <vt:lpstr>Libraries</vt:lpstr>
      <vt:lpstr>Datasets</vt:lpstr>
      <vt:lpstr>EDA</vt:lpstr>
      <vt:lpstr>Histograms</vt:lpstr>
      <vt:lpstr>Boxplots</vt:lpstr>
      <vt:lpstr>Correlations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Adam Gladstone</dc:creator>
  <cp:lastModifiedBy>Adam Gladstone</cp:lastModifiedBy>
  <dcterms:created xsi:type="dcterms:W3CDTF">2025-07-21T09:31:22Z</dcterms:created>
  <dcterms:modified xsi:type="dcterms:W3CDTF">2026-09-25T12:09:36Z</dcterms:modified>
</cp:coreProperties>
</file>