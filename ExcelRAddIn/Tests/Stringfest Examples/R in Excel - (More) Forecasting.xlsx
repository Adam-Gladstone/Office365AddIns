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Stringfest Examples\"/>
    </mc:Choice>
  </mc:AlternateContent>
  <xr:revisionPtr revIDLastSave="0" documentId="13_ncr:1_{A16955EB-5B14-4AA6-BD94-0B4201C0AA60}" xr6:coauthVersionLast="47" xr6:coauthVersionMax="47" xr10:uidLastSave="{00000000-0000-0000-0000-000000000000}"/>
  <bookViews>
    <workbookView xWindow="-108" yWindow="-108" windowWidth="23256" windowHeight="12456" activeTab="1" xr2:uid="{EB0856D8-E191-4F16-B73A-E50C554CDF02}"/>
  </bookViews>
  <sheets>
    <sheet name="References" sheetId="1" r:id="rId1"/>
    <sheet name="Libraries" sheetId="2" r:id="rId2"/>
    <sheet name="Datasets" sheetId="3" r:id="rId3"/>
    <sheet name="SES" sheetId="4" r:id="rId4"/>
    <sheet name="Holt" sheetId="5" r:id="rId5"/>
    <sheet name="Holt Winters" sheetId="6" r:id="rId6"/>
    <sheet name="Accurac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 a="1"/>
  <c r="C6" i="7" a="1"/>
  <c r="C3" i="7" a="1"/>
  <c r="C19" i="6" a="1"/>
  <c r="D4" i="6" a="1"/>
  <c r="C4" i="6" a="1"/>
  <c r="C10" i="6" a="1"/>
  <c r="D3" i="6" a="1"/>
  <c r="C3" i="6" a="1"/>
  <c r="C19" i="5" a="1"/>
  <c r="B6" i="7" s="1"/>
  <c r="C10" i="5" a="1"/>
  <c r="D4" i="5" a="1"/>
  <c r="C4" i="5" a="1"/>
  <c r="D3" i="5" a="1"/>
  <c r="B13" i="4" a="1"/>
  <c r="C10" i="4" a="1"/>
  <c r="C4" i="4" a="1"/>
  <c r="E4" i="2" a="1"/>
  <c r="C9" i="6"/>
  <c r="C9" i="5"/>
  <c r="C3" i="5" a="1"/>
  <c r="C3" i="4"/>
  <c r="C4" i="2"/>
  <c r="B9" i="7" l="1"/>
  <c r="I12" i="4"/>
  <c r="K12" i="4" s="1" a="1"/>
  <c r="B3" i="7"/>
  <c r="B22" i="6" a="1"/>
  <c r="I21" i="6"/>
  <c r="K21" i="6" s="1" a="1"/>
  <c r="I21" i="5"/>
  <c r="K21" i="5" s="1" a="1"/>
  <c r="B22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<sst xmlns="http://schemas.openxmlformats.org/spreadsheetml/2006/main" count="206" uniqueCount="185">
  <si>
    <t>References</t>
  </si>
  <si>
    <t>Libraries</t>
  </si>
  <si>
    <t>Copilot in Excel: How to build exponential smoothing forecasts with Python - Stringfest Analytics</t>
  </si>
  <si>
    <t>Package</t>
  </si>
  <si>
    <t>Script</t>
  </si>
  <si>
    <t>Evaluate</t>
  </si>
  <si>
    <t>fpp2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</si>
  <si>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</si>
  <si>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</si>
  <si>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</si>
  <si>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</si>
  <si>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</si>
  <si>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</si>
  <si>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</si>
  <si>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</si>
  <si>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</si>
  <si>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</si>
  <si>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</si>
  <si>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</si>
  <si>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</si>
  <si>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</si>
  <si>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</si>
  <si>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</si>
  <si>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</si>
  <si>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</si>
  <si>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</si>
  <si>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</si>
  <si>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</si>
  <si>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</si>
  <si>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</si>
  <si>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</si>
  <si>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</si>
  <si>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</si>
  <si>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</si>
  <si>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</si>
  <si>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</si>
  <si>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</si>
  <si>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</si>
  <si>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</si>
  <si>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</si>
  <si>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</si>
  <si>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</si>
  <si>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</si>
  <si>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</si>
  <si>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</si>
  <si>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</si>
  <si>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</si>
  <si>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</si>
  <si>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</si>
  <si>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</si>
  <si>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</si>
  <si>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</si>
  <si>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</si>
  <si>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</si>
  <si>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</si>
  <si>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</si>
  <si>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</si>
  <si>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</si>
  <si>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</si>
  <si>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</si>
  <si>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</si>
  <si>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</si>
  <si>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</si>
  <si>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</si>
  <si>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</si>
  <si>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</si>
  <si>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</si>
  <si>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</si>
  <si>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</si>
  <si>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</si>
  <si>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</si>
  <si>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</si>
  <si>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</si>
  <si>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</si>
  <si>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</si>
  <si>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</si>
  <si>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</si>
  <si>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</si>
  <si>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</si>
  <si>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</si>
  <si>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</si>
  <si>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</si>
  <si>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</si>
  <si>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</si>
  <si>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</si>
  <si>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</si>
  <si>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</si>
  <si>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</si>
  <si>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</si>
  <si>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</si>
  <si>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</si>
  <si>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</si>
  <si>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</si>
  <si>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</si>
  <si>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</si>
  <si>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</si>
  <si>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</si>
  <si>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</si>
  <si>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</si>
  <si>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</si>
  <si>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</si>
  <si>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</si>
  <si>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</si>
  <si>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</si>
  <si>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</si>
  <si>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</si>
  <si>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</si>
  <si>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</si>
  <si>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</si>
  <si>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</si>
  <si>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</si>
  <si>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</si>
  <si>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</si>
  <si>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</si>
  <si>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</si>
  <si>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</si>
  <si>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</si>
  <si>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</si>
  <si>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</si>
  <si>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</si>
  <si>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</si>
  <si>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</si>
  <si>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</si>
  <si>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</si>
  <si>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</si>
  <si>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</si>
  <si>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</si>
  <si>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</si>
  <si>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</si>
  <si>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</si>
  <si>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</si>
  <si>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</si>
  <si>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</si>
  <si>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</si>
  <si>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</si>
  <si>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</si>
  <si>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</si>
  <si>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</si>
  <si>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</si>
  <si>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</si>
  <si>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</si>
  <si>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</si>
  <si>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</si>
  <si>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</si>
  <si>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</si>
  <si>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</si>
  <si>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</si>
  <si>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</si>
  <si>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</si>
  <si>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</si>
  <si>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</si>
  <si>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Passengers</t>
  </si>
  <si>
    <t>Model Parameters</t>
  </si>
  <si>
    <t>Name</t>
  </si>
  <si>
    <t>Series</t>
  </si>
  <si>
    <t>initial</t>
  </si>
  <si>
    <t>alpha</t>
  </si>
  <si>
    <t>h</t>
  </si>
  <si>
    <t>Model</t>
  </si>
  <si>
    <t>Step</t>
  </si>
  <si>
    <t>Forecasts</t>
  </si>
  <si>
    <t>beta</t>
  </si>
  <si>
    <t>Forecasting: Principles and Practice (2nd ed)</t>
  </si>
  <si>
    <t>forecast: Forecasting Functions for Time Series and Linear Models</t>
  </si>
  <si>
    <t>fpp2: Data for "Forecasting: Principles and Practice" (2nd Edition)</t>
  </si>
  <si>
    <t>A Practical Guide to ARIMA with auto.arima Function in R | by Zaki Nurkholis | Medium</t>
  </si>
  <si>
    <t>level</t>
  </si>
  <si>
    <t>c(80, 95)</t>
  </si>
  <si>
    <t>seasonal</t>
  </si>
  <si>
    <t>additive</t>
  </si>
  <si>
    <t>Frequency</t>
  </si>
  <si>
    <t>Vector</t>
  </si>
  <si>
    <t>Time series</t>
  </si>
  <si>
    <t>Models</t>
  </si>
  <si>
    <t>damped</t>
  </si>
  <si>
    <t>exponential</t>
  </si>
  <si>
    <t>phi</t>
  </si>
  <si>
    <t>Value of smoothing parameter for the level. If NULL, it will be estimated.</t>
  </si>
  <si>
    <t>A numeric vector or time series of class ts</t>
  </si>
  <si>
    <t>Number of periods for forecasting.</t>
  </si>
  <si>
    <t>Confidence level for prediction intervals.</t>
  </si>
  <si>
    <t>If TRUE, use a damped trend.</t>
  </si>
  <si>
    <t>If TRUE, an exponential trend is fitted. Otherwise, the trend is (locally) linear.</t>
  </si>
  <si>
    <t>Value of smoothing parameter for the trend. If NULL, it will be estimated.</t>
  </si>
  <si>
    <t>Value of damping parameter if damped=TRUE. If NULL, it will be 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</si>
</sst>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2" fillId="0" borderId="0" xfId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0" fillId="0" borderId="0" xfId="0" quotePrefix="1"/>
    <xf numFmtId="0" fontId="0" fillId="2" borderId="0" xfId="0" applyFill="1"/>
    <xf numFmtId="0" fontId="0" fillId="7" borderId="0" xfId="0" applyFill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3</xdr:row>
      <xdr:rowOff>60960</xdr:rowOff>
    </xdr:from>
    <xdr:to>
      <xdr:col>18</xdr:col>
      <xdr:colOff>335280</xdr:colOff>
      <xdr:row>25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9097-D2E3-2D19-05E8-1325F5370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609600"/>
          <a:ext cx="4069080" cy="406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502920</xdr:colOff>
      <xdr:row>3</xdr:row>
      <xdr:rowOff>22860</xdr:rowOff>
    </xdr:from>
    <xdr:to>
      <xdr:col>17</xdr:col>
      <xdr:colOff>83820</xdr:colOff>
      <xdr:row>24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FE8AE-7A26-FB9C-1F86-FAF23BEF5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1320" y="571500"/>
          <a:ext cx="3848100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594360</xdr:colOff>
      <xdr:row>5</xdr:row>
      <xdr:rowOff>30480</xdr:rowOff>
    </xdr:from>
    <xdr:to>
      <xdr:col>18</xdr:col>
      <xdr:colOff>60960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9C578-5155-1E6D-3580-FBF49BFA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360" y="944880"/>
          <a:ext cx="3733800" cy="373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A6D96-EF6F-4BCD-956F-84F260F2E74E}" name="tAirPassengers" displayName="tAirPassengers" ref="C2:D146" totalsRowShown="0">
  <autoFilter ref="C2:D146" xr:uid="{1FEA6D96-EF6F-4BCD-956F-84F260F2E74E}"/>
  <tableColumns count="2">
    <tableColumn id="1" xr3:uid="{F427153F-A7B9-4849-ADF5-39F130816307}" name="Step"/>
    <tableColumn id="2" xr3:uid="{9EC003DD-C935-410A-8751-53B948C44B69}" name="Passeng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an.r-project.org/web/packages/fpp2/fpp2.pdf" TargetMode="External"/><Relationship Id="rId2" Type="http://schemas.openxmlformats.org/officeDocument/2006/relationships/hyperlink" Target="https://otexts.com/fpp2/" TargetMode="External"/><Relationship Id="rId1" Type="http://schemas.openxmlformats.org/officeDocument/2006/relationships/hyperlink" Target="https://stringfestanalytics.com/copilot-in-excel-how-to-build-exponential-smoothing-forecasts-with-python/" TargetMode="External"/><Relationship Id="rId5" Type="http://schemas.openxmlformats.org/officeDocument/2006/relationships/hyperlink" Target="https://medium.com/@mouse3mic3/a-practical-guide-to-arima-with-auto-arima-function-in-r-252aa84232af" TargetMode="External"/><Relationship Id="rId4" Type="http://schemas.openxmlformats.org/officeDocument/2006/relationships/hyperlink" Target="https://cran.r-project.org/web/packages/forecast/forecast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DCD4-F3C3-4C27-B611-D64603BBA5E7}">
  <sheetPr>
    <tabColor theme="0" tint="-0.249977111117893"/>
  </sheetPr>
  <dimension ref="B2:B7"/>
  <sheetViews>
    <sheetView workbookViewId="0">
      <selection activeCell="B3" sqref="B3"/>
    </sheetView>
  </sheetViews>
  <sheetFormatPr defaultRowHeight="14.4" x14ac:dyDescent="0.3"/>
  <cols>
    <col min="2" max="2" width="77.44140625" bestFit="1" customWidth="1"/>
  </cols>
  <sheetData>
    <row r="2" spans="2:2" x14ac:dyDescent="0.3">
      <c r="B2" s="1" t="s">
        <v>0</v>
      </c>
    </row>
    <row r="3" spans="2:2" x14ac:dyDescent="0.3">
      <c r="B3" s="2" t="s">
        <v>2</v>
      </c>
    </row>
    <row r="4" spans="2:2" x14ac:dyDescent="0.3">
      <c r="B4" s="2" t="s">
        <v>162</v>
      </c>
    </row>
    <row r="5" spans="2:2" x14ac:dyDescent="0.3">
      <c r="B5" s="2" t="s">
        <v>163</v>
      </c>
    </row>
    <row r="6" spans="2:2" x14ac:dyDescent="0.3">
      <c r="B6" s="2" t="s">
        <v>164</v>
      </c>
    </row>
    <row r="7" spans="2:2" x14ac:dyDescent="0.3">
      <c r="B7" s="2" t="s">
        <v>165</v>
      </c>
    </row>
  </sheetData>
  <hyperlinks>
    <hyperlink ref="B3" r:id="rId1" display="https://stringfestanalytics.com/copilot-in-excel-how-to-build-exponential-smoothing-forecasts-with-python/" xr:uid="{1165F2F1-671E-4675-AB7B-C3ECE675629E}"/>
    <hyperlink ref="B4" r:id="rId2" display="https://otexts.com/fpp2/" xr:uid="{F8195CB5-A26D-4ABF-B978-F3154C298CF3}"/>
    <hyperlink ref="B6" r:id="rId3" display="https://cran.r-project.org/web/packages/fpp2/fpp2.pdf" xr:uid="{7B8E16CF-F04A-4AF4-838D-470A233020D7}"/>
    <hyperlink ref="B5" r:id="rId4" display="https://cran.r-project.org/web/packages/forecast/forecast.pdf" xr:uid="{2A17776F-ECFF-485B-989F-AB40DAE6F514}"/>
    <hyperlink ref="B7" r:id="rId5" display="https://medium.com/@mouse3mic3/a-practical-guide-to-arima-with-auto-arima-function-in-r-252aa84232af" xr:uid="{D88F67CC-6CA7-477F-87D1-D7B8612F38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40DD-D99B-43E4-A33E-A719BEB87B1B}">
  <sheetPr>
    <tabColor theme="0" tint="-0.249977111117893"/>
  </sheetPr>
  <dimension ref="B2:E4"/>
  <sheetViews>
    <sheetView tabSelected="1" workbookViewId="0"/>
  </sheetViews>
  <sheetFormatPr defaultRowHeight="14.4" x14ac:dyDescent="0.3"/>
  <cols>
    <col min="2" max="2" width="27" customWidth="1"/>
    <col min="3" max="3" width="10.6640625" bestFit="1" customWidth="1"/>
  </cols>
  <sheetData>
    <row r="2" spans="2:5" x14ac:dyDescent="0.3">
      <c r="B2" s="1" t="s">
        <v>1</v>
      </c>
    </row>
    <row r="3" spans="2:5" x14ac:dyDescent="0.3">
      <c r="B3" s="1" t="s">
        <v>3</v>
      </c>
      <c r="C3" s="1" t="s">
        <v>4</v>
      </c>
      <c r="E3" s="1" t="s">
        <v>5</v>
      </c>
    </row>
    <row r="4" spans="2:5" x14ac:dyDescent="0.3">
      <c r="B4" t="s">
        <v>6</v>
      </c>
      <c r="C4" t="str">
        <f>"library("&amp;B4&amp;")"</f>
        <v>library(fpp2)</v>
      </c>
      <c r="E4" t="str" cm="1">
        <f t="array" ref="E4">_xll.RScript.Evaluate(C4, TRUE)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EF21-8D1A-4E97-89CE-A93B9E1A3A7B}">
  <sheetPr>
    <tabColor theme="4" tint="0.79998168889431442"/>
  </sheetPr>
  <dimension ref="B2:D146"/>
  <sheetViews>
    <sheetView workbookViewId="0">
      <selection activeCell="B3" sqref="B3"/>
    </sheetView>
  </sheetViews>
  <sheetFormatPr defaultRowHeight="14.4" x14ac:dyDescent="0.3"/>
  <cols>
    <col min="4" max="4" width="12.21875" customWidth="1"/>
  </cols>
  <sheetData>
    <row r="2" spans="2:4" x14ac:dyDescent="0.3">
      <c r="C2" t="s">
        <v>159</v>
      </c>
      <c r="D2" t="s">
        <v>151</v>
      </c>
    </row>
    <row r="3" spans="2:4" x14ac:dyDescent="0.3">
      <c r="B3" t="s">
        <v>7</v>
      </c>
      <c r="C3">
        <v>1</v>
      </c>
      <c r="D3">
        <v>112</v>
      </c>
    </row>
    <row r="4" spans="2:4" x14ac:dyDescent="0.3">
      <c r="B4" t="s">
        <v>8</v>
      </c>
      <c r="C4">
        <v>2</v>
      </c>
      <c r="D4">
        <v>118</v>
      </c>
    </row>
    <row r="5" spans="2:4" x14ac:dyDescent="0.3">
      <c r="B5" t="s">
        <v>9</v>
      </c>
      <c r="C5">
        <v>3</v>
      </c>
      <c r="D5">
        <v>132</v>
      </c>
    </row>
    <row r="6" spans="2:4" x14ac:dyDescent="0.3">
      <c r="B6" t="s">
        <v>10</v>
      </c>
      <c r="C6">
        <v>4</v>
      </c>
      <c r="D6">
        <v>129</v>
      </c>
    </row>
    <row r="7" spans="2:4" x14ac:dyDescent="0.3">
      <c r="B7" t="s">
        <v>11</v>
      </c>
      <c r="C7">
        <v>5</v>
      </c>
      <c r="D7">
        <v>121</v>
      </c>
    </row>
    <row r="8" spans="2:4" x14ac:dyDescent="0.3">
      <c r="B8" t="s">
        <v>12</v>
      </c>
      <c r="C8">
        <v>6</v>
      </c>
      <c r="D8">
        <v>135</v>
      </c>
    </row>
    <row r="9" spans="2:4" x14ac:dyDescent="0.3">
      <c r="B9" t="s">
        <v>13</v>
      </c>
      <c r="C9">
        <v>7</v>
      </c>
      <c r="D9">
        <v>148</v>
      </c>
    </row>
    <row r="10" spans="2:4" x14ac:dyDescent="0.3">
      <c r="B10" t="s">
        <v>14</v>
      </c>
      <c r="C10">
        <v>8</v>
      </c>
      <c r="D10">
        <v>148</v>
      </c>
    </row>
    <row r="11" spans="2:4" x14ac:dyDescent="0.3">
      <c r="B11" t="s">
        <v>15</v>
      </c>
      <c r="C11">
        <v>9</v>
      </c>
      <c r="D11">
        <v>136</v>
      </c>
    </row>
    <row r="12" spans="2:4" x14ac:dyDescent="0.3">
      <c r="B12" t="s">
        <v>16</v>
      </c>
      <c r="C12">
        <v>10</v>
      </c>
      <c r="D12">
        <v>119</v>
      </c>
    </row>
    <row r="13" spans="2:4" x14ac:dyDescent="0.3">
      <c r="B13" t="s">
        <v>17</v>
      </c>
      <c r="C13">
        <v>11</v>
      </c>
      <c r="D13">
        <v>104</v>
      </c>
    </row>
    <row r="14" spans="2:4" x14ac:dyDescent="0.3">
      <c r="B14" t="s">
        <v>18</v>
      </c>
      <c r="C14">
        <v>12</v>
      </c>
      <c r="D14">
        <v>118</v>
      </c>
    </row>
    <row r="15" spans="2:4" x14ac:dyDescent="0.3">
      <c r="B15" t="s">
        <v>19</v>
      </c>
      <c r="C15">
        <v>13</v>
      </c>
      <c r="D15">
        <v>115</v>
      </c>
    </row>
    <row r="16" spans="2:4" x14ac:dyDescent="0.3">
      <c r="B16" t="s">
        <v>20</v>
      </c>
      <c r="C16">
        <v>14</v>
      </c>
      <c r="D16">
        <v>126</v>
      </c>
    </row>
    <row r="17" spans="2:4" x14ac:dyDescent="0.3">
      <c r="B17" t="s">
        <v>21</v>
      </c>
      <c r="C17">
        <v>15</v>
      </c>
      <c r="D17">
        <v>141</v>
      </c>
    </row>
    <row r="18" spans="2:4" x14ac:dyDescent="0.3">
      <c r="B18" t="s">
        <v>22</v>
      </c>
      <c r="C18">
        <v>16</v>
      </c>
      <c r="D18">
        <v>135</v>
      </c>
    </row>
    <row r="19" spans="2:4" x14ac:dyDescent="0.3">
      <c r="B19" t="s">
        <v>23</v>
      </c>
      <c r="C19">
        <v>17</v>
      </c>
      <c r="D19">
        <v>125</v>
      </c>
    </row>
    <row r="20" spans="2:4" x14ac:dyDescent="0.3">
      <c r="B20" t="s">
        <v>24</v>
      </c>
      <c r="C20">
        <v>18</v>
      </c>
      <c r="D20">
        <v>149</v>
      </c>
    </row>
    <row r="21" spans="2:4" x14ac:dyDescent="0.3">
      <c r="B21" t="s">
        <v>25</v>
      </c>
      <c r="C21">
        <v>19</v>
      </c>
      <c r="D21">
        <v>170</v>
      </c>
    </row>
    <row r="22" spans="2:4" x14ac:dyDescent="0.3">
      <c r="B22" t="s">
        <v>26</v>
      </c>
      <c r="C22">
        <v>20</v>
      </c>
      <c r="D22">
        <v>170</v>
      </c>
    </row>
    <row r="23" spans="2:4" x14ac:dyDescent="0.3">
      <c r="B23" t="s">
        <v>27</v>
      </c>
      <c r="C23">
        <v>21</v>
      </c>
      <c r="D23">
        <v>158</v>
      </c>
    </row>
    <row r="24" spans="2:4" x14ac:dyDescent="0.3">
      <c r="B24" t="s">
        <v>28</v>
      </c>
      <c r="C24">
        <v>22</v>
      </c>
      <c r="D24">
        <v>133</v>
      </c>
    </row>
    <row r="25" spans="2:4" x14ac:dyDescent="0.3">
      <c r="B25" t="s">
        <v>29</v>
      </c>
      <c r="C25">
        <v>23</v>
      </c>
      <c r="D25">
        <v>114</v>
      </c>
    </row>
    <row r="26" spans="2:4" x14ac:dyDescent="0.3">
      <c r="B26" t="s">
        <v>30</v>
      </c>
      <c r="C26">
        <v>24</v>
      </c>
      <c r="D26">
        <v>140</v>
      </c>
    </row>
    <row r="27" spans="2:4" x14ac:dyDescent="0.3">
      <c r="B27" t="s">
        <v>31</v>
      </c>
      <c r="C27">
        <v>25</v>
      </c>
      <c r="D27">
        <v>145</v>
      </c>
    </row>
    <row r="28" spans="2:4" x14ac:dyDescent="0.3">
      <c r="B28" t="s">
        <v>32</v>
      </c>
      <c r="C28">
        <v>26</v>
      </c>
      <c r="D28">
        <v>150</v>
      </c>
    </row>
    <row r="29" spans="2:4" x14ac:dyDescent="0.3">
      <c r="B29" t="s">
        <v>33</v>
      </c>
      <c r="C29">
        <v>27</v>
      </c>
      <c r="D29">
        <v>178</v>
      </c>
    </row>
    <row r="30" spans="2:4" x14ac:dyDescent="0.3">
      <c r="B30" t="s">
        <v>34</v>
      </c>
      <c r="C30">
        <v>28</v>
      </c>
      <c r="D30">
        <v>163</v>
      </c>
    </row>
    <row r="31" spans="2:4" x14ac:dyDescent="0.3">
      <c r="B31" t="s">
        <v>35</v>
      </c>
      <c r="C31">
        <v>29</v>
      </c>
      <c r="D31">
        <v>172</v>
      </c>
    </row>
    <row r="32" spans="2:4" x14ac:dyDescent="0.3">
      <c r="B32" t="s">
        <v>36</v>
      </c>
      <c r="C32">
        <v>30</v>
      </c>
      <c r="D32">
        <v>178</v>
      </c>
    </row>
    <row r="33" spans="2:4" x14ac:dyDescent="0.3">
      <c r="B33" t="s">
        <v>37</v>
      </c>
      <c r="C33">
        <v>31</v>
      </c>
      <c r="D33">
        <v>199</v>
      </c>
    </row>
    <row r="34" spans="2:4" x14ac:dyDescent="0.3">
      <c r="B34" t="s">
        <v>38</v>
      </c>
      <c r="C34">
        <v>32</v>
      </c>
      <c r="D34">
        <v>199</v>
      </c>
    </row>
    <row r="35" spans="2:4" x14ac:dyDescent="0.3">
      <c r="B35" t="s">
        <v>39</v>
      </c>
      <c r="C35">
        <v>33</v>
      </c>
      <c r="D35">
        <v>184</v>
      </c>
    </row>
    <row r="36" spans="2:4" x14ac:dyDescent="0.3">
      <c r="B36" t="s">
        <v>40</v>
      </c>
      <c r="C36">
        <v>34</v>
      </c>
      <c r="D36">
        <v>162</v>
      </c>
    </row>
    <row r="37" spans="2:4" x14ac:dyDescent="0.3">
      <c r="B37" t="s">
        <v>41</v>
      </c>
      <c r="C37">
        <v>35</v>
      </c>
      <c r="D37">
        <v>146</v>
      </c>
    </row>
    <row r="38" spans="2:4" x14ac:dyDescent="0.3">
      <c r="B38" t="s">
        <v>42</v>
      </c>
      <c r="C38">
        <v>36</v>
      </c>
      <c r="D38">
        <v>166</v>
      </c>
    </row>
    <row r="39" spans="2:4" x14ac:dyDescent="0.3">
      <c r="B39" t="s">
        <v>43</v>
      </c>
      <c r="C39">
        <v>37</v>
      </c>
      <c r="D39">
        <v>171</v>
      </c>
    </row>
    <row r="40" spans="2:4" x14ac:dyDescent="0.3">
      <c r="B40" t="s">
        <v>44</v>
      </c>
      <c r="C40">
        <v>38</v>
      </c>
      <c r="D40">
        <v>180</v>
      </c>
    </row>
    <row r="41" spans="2:4" x14ac:dyDescent="0.3">
      <c r="B41" t="s">
        <v>45</v>
      </c>
      <c r="C41">
        <v>39</v>
      </c>
      <c r="D41">
        <v>193</v>
      </c>
    </row>
    <row r="42" spans="2:4" x14ac:dyDescent="0.3">
      <c r="B42" t="s">
        <v>46</v>
      </c>
      <c r="C42">
        <v>40</v>
      </c>
      <c r="D42">
        <v>181</v>
      </c>
    </row>
    <row r="43" spans="2:4" x14ac:dyDescent="0.3">
      <c r="B43" t="s">
        <v>47</v>
      </c>
      <c r="C43">
        <v>41</v>
      </c>
      <c r="D43">
        <v>183</v>
      </c>
    </row>
    <row r="44" spans="2:4" x14ac:dyDescent="0.3">
      <c r="B44" t="s">
        <v>48</v>
      </c>
      <c r="C44">
        <v>42</v>
      </c>
      <c r="D44">
        <v>218</v>
      </c>
    </row>
    <row r="45" spans="2:4" x14ac:dyDescent="0.3">
      <c r="B45" t="s">
        <v>49</v>
      </c>
      <c r="C45">
        <v>43</v>
      </c>
      <c r="D45">
        <v>230</v>
      </c>
    </row>
    <row r="46" spans="2:4" x14ac:dyDescent="0.3">
      <c r="B46" t="s">
        <v>50</v>
      </c>
      <c r="C46">
        <v>44</v>
      </c>
      <c r="D46">
        <v>242</v>
      </c>
    </row>
    <row r="47" spans="2:4" x14ac:dyDescent="0.3">
      <c r="B47" t="s">
        <v>51</v>
      </c>
      <c r="C47">
        <v>45</v>
      </c>
      <c r="D47">
        <v>209</v>
      </c>
    </row>
    <row r="48" spans="2:4" x14ac:dyDescent="0.3">
      <c r="B48" t="s">
        <v>52</v>
      </c>
      <c r="C48">
        <v>46</v>
      </c>
      <c r="D48">
        <v>191</v>
      </c>
    </row>
    <row r="49" spans="2:4" x14ac:dyDescent="0.3">
      <c r="B49" t="s">
        <v>53</v>
      </c>
      <c r="C49">
        <v>47</v>
      </c>
      <c r="D49">
        <v>172</v>
      </c>
    </row>
    <row r="50" spans="2:4" x14ac:dyDescent="0.3">
      <c r="B50" t="s">
        <v>54</v>
      </c>
      <c r="C50">
        <v>48</v>
      </c>
      <c r="D50">
        <v>194</v>
      </c>
    </row>
    <row r="51" spans="2:4" x14ac:dyDescent="0.3">
      <c r="B51" t="s">
        <v>55</v>
      </c>
      <c r="C51">
        <v>49</v>
      </c>
      <c r="D51">
        <v>196</v>
      </c>
    </row>
    <row r="52" spans="2:4" x14ac:dyDescent="0.3">
      <c r="B52" t="s">
        <v>56</v>
      </c>
      <c r="C52">
        <v>50</v>
      </c>
      <c r="D52">
        <v>196</v>
      </c>
    </row>
    <row r="53" spans="2:4" x14ac:dyDescent="0.3">
      <c r="B53" t="s">
        <v>57</v>
      </c>
      <c r="C53">
        <v>51</v>
      </c>
      <c r="D53">
        <v>236</v>
      </c>
    </row>
    <row r="54" spans="2:4" x14ac:dyDescent="0.3">
      <c r="B54" t="s">
        <v>58</v>
      </c>
      <c r="C54">
        <v>52</v>
      </c>
      <c r="D54">
        <v>235</v>
      </c>
    </row>
    <row r="55" spans="2:4" x14ac:dyDescent="0.3">
      <c r="B55" t="s">
        <v>59</v>
      </c>
      <c r="C55">
        <v>53</v>
      </c>
      <c r="D55">
        <v>229</v>
      </c>
    </row>
    <row r="56" spans="2:4" x14ac:dyDescent="0.3">
      <c r="B56" t="s">
        <v>60</v>
      </c>
      <c r="C56">
        <v>54</v>
      </c>
      <c r="D56">
        <v>243</v>
      </c>
    </row>
    <row r="57" spans="2:4" x14ac:dyDescent="0.3">
      <c r="B57" t="s">
        <v>61</v>
      </c>
      <c r="C57">
        <v>55</v>
      </c>
      <c r="D57">
        <v>264</v>
      </c>
    </row>
    <row r="58" spans="2:4" x14ac:dyDescent="0.3">
      <c r="B58" t="s">
        <v>62</v>
      </c>
      <c r="C58">
        <v>56</v>
      </c>
      <c r="D58">
        <v>272</v>
      </c>
    </row>
    <row r="59" spans="2:4" x14ac:dyDescent="0.3">
      <c r="B59" t="s">
        <v>63</v>
      </c>
      <c r="C59">
        <v>57</v>
      </c>
      <c r="D59">
        <v>237</v>
      </c>
    </row>
    <row r="60" spans="2:4" x14ac:dyDescent="0.3">
      <c r="B60" t="s">
        <v>64</v>
      </c>
      <c r="C60">
        <v>58</v>
      </c>
      <c r="D60">
        <v>211</v>
      </c>
    </row>
    <row r="61" spans="2:4" x14ac:dyDescent="0.3">
      <c r="B61" t="s">
        <v>65</v>
      </c>
      <c r="C61">
        <v>59</v>
      </c>
      <c r="D61">
        <v>180</v>
      </c>
    </row>
    <row r="62" spans="2:4" x14ac:dyDescent="0.3">
      <c r="B62" t="s">
        <v>66</v>
      </c>
      <c r="C62">
        <v>60</v>
      </c>
      <c r="D62">
        <v>201</v>
      </c>
    </row>
    <row r="63" spans="2:4" x14ac:dyDescent="0.3">
      <c r="B63" t="s">
        <v>67</v>
      </c>
      <c r="C63">
        <v>61</v>
      </c>
      <c r="D63">
        <v>204</v>
      </c>
    </row>
    <row r="64" spans="2:4" x14ac:dyDescent="0.3">
      <c r="B64" t="s">
        <v>68</v>
      </c>
      <c r="C64">
        <v>62</v>
      </c>
      <c r="D64">
        <v>188</v>
      </c>
    </row>
    <row r="65" spans="2:4" x14ac:dyDescent="0.3">
      <c r="B65" t="s">
        <v>69</v>
      </c>
      <c r="C65">
        <v>63</v>
      </c>
      <c r="D65">
        <v>235</v>
      </c>
    </row>
    <row r="66" spans="2:4" x14ac:dyDescent="0.3">
      <c r="B66" t="s">
        <v>70</v>
      </c>
      <c r="C66">
        <v>64</v>
      </c>
      <c r="D66">
        <v>227</v>
      </c>
    </row>
    <row r="67" spans="2:4" x14ac:dyDescent="0.3">
      <c r="B67" t="s">
        <v>71</v>
      </c>
      <c r="C67">
        <v>65</v>
      </c>
      <c r="D67">
        <v>234</v>
      </c>
    </row>
    <row r="68" spans="2:4" x14ac:dyDescent="0.3">
      <c r="B68" t="s">
        <v>72</v>
      </c>
      <c r="C68">
        <v>66</v>
      </c>
      <c r="D68">
        <v>264</v>
      </c>
    </row>
    <row r="69" spans="2:4" x14ac:dyDescent="0.3">
      <c r="B69" t="s">
        <v>73</v>
      </c>
      <c r="C69">
        <v>67</v>
      </c>
      <c r="D69">
        <v>302</v>
      </c>
    </row>
    <row r="70" spans="2:4" x14ac:dyDescent="0.3">
      <c r="B70" t="s">
        <v>74</v>
      </c>
      <c r="C70">
        <v>68</v>
      </c>
      <c r="D70">
        <v>293</v>
      </c>
    </row>
    <row r="71" spans="2:4" x14ac:dyDescent="0.3">
      <c r="B71" t="s">
        <v>75</v>
      </c>
      <c r="C71">
        <v>69</v>
      </c>
      <c r="D71">
        <v>259</v>
      </c>
    </row>
    <row r="72" spans="2:4" x14ac:dyDescent="0.3">
      <c r="B72" t="s">
        <v>76</v>
      </c>
      <c r="C72">
        <v>70</v>
      </c>
      <c r="D72">
        <v>229</v>
      </c>
    </row>
    <row r="73" spans="2:4" x14ac:dyDescent="0.3">
      <c r="B73" t="s">
        <v>77</v>
      </c>
      <c r="C73">
        <v>71</v>
      </c>
      <c r="D73">
        <v>203</v>
      </c>
    </row>
    <row r="74" spans="2:4" x14ac:dyDescent="0.3">
      <c r="B74" t="s">
        <v>78</v>
      </c>
      <c r="C74">
        <v>72</v>
      </c>
      <c r="D74">
        <v>229</v>
      </c>
    </row>
    <row r="75" spans="2:4" x14ac:dyDescent="0.3">
      <c r="B75" t="s">
        <v>79</v>
      </c>
      <c r="C75">
        <v>73</v>
      </c>
      <c r="D75">
        <v>242</v>
      </c>
    </row>
    <row r="76" spans="2:4" x14ac:dyDescent="0.3">
      <c r="B76" t="s">
        <v>80</v>
      </c>
      <c r="C76">
        <v>74</v>
      </c>
      <c r="D76">
        <v>233</v>
      </c>
    </row>
    <row r="77" spans="2:4" x14ac:dyDescent="0.3">
      <c r="B77" t="s">
        <v>81</v>
      </c>
      <c r="C77">
        <v>75</v>
      </c>
      <c r="D77">
        <v>267</v>
      </c>
    </row>
    <row r="78" spans="2:4" x14ac:dyDescent="0.3">
      <c r="B78" t="s">
        <v>82</v>
      </c>
      <c r="C78">
        <v>76</v>
      </c>
      <c r="D78">
        <v>269</v>
      </c>
    </row>
    <row r="79" spans="2:4" x14ac:dyDescent="0.3">
      <c r="B79" t="s">
        <v>83</v>
      </c>
      <c r="C79">
        <v>77</v>
      </c>
      <c r="D79">
        <v>270</v>
      </c>
    </row>
    <row r="80" spans="2:4" x14ac:dyDescent="0.3">
      <c r="B80" t="s">
        <v>84</v>
      </c>
      <c r="C80">
        <v>78</v>
      </c>
      <c r="D80">
        <v>315</v>
      </c>
    </row>
    <row r="81" spans="2:4" x14ac:dyDescent="0.3">
      <c r="B81" t="s">
        <v>85</v>
      </c>
      <c r="C81">
        <v>79</v>
      </c>
      <c r="D81">
        <v>364</v>
      </c>
    </row>
    <row r="82" spans="2:4" x14ac:dyDescent="0.3">
      <c r="B82" t="s">
        <v>86</v>
      </c>
      <c r="C82">
        <v>80</v>
      </c>
      <c r="D82">
        <v>347</v>
      </c>
    </row>
    <row r="83" spans="2:4" x14ac:dyDescent="0.3">
      <c r="B83" t="s">
        <v>87</v>
      </c>
      <c r="C83">
        <v>81</v>
      </c>
      <c r="D83">
        <v>312</v>
      </c>
    </row>
    <row r="84" spans="2:4" x14ac:dyDescent="0.3">
      <c r="B84" t="s">
        <v>88</v>
      </c>
      <c r="C84">
        <v>82</v>
      </c>
      <c r="D84">
        <v>274</v>
      </c>
    </row>
    <row r="85" spans="2:4" x14ac:dyDescent="0.3">
      <c r="B85" t="s">
        <v>89</v>
      </c>
      <c r="C85">
        <v>83</v>
      </c>
      <c r="D85">
        <v>237</v>
      </c>
    </row>
    <row r="86" spans="2:4" x14ac:dyDescent="0.3">
      <c r="B86" t="s">
        <v>90</v>
      </c>
      <c r="C86">
        <v>84</v>
      </c>
      <c r="D86">
        <v>278</v>
      </c>
    </row>
    <row r="87" spans="2:4" x14ac:dyDescent="0.3">
      <c r="B87" t="s">
        <v>91</v>
      </c>
      <c r="C87">
        <v>85</v>
      </c>
      <c r="D87">
        <v>284</v>
      </c>
    </row>
    <row r="88" spans="2:4" x14ac:dyDescent="0.3">
      <c r="B88" t="s">
        <v>92</v>
      </c>
      <c r="C88">
        <v>86</v>
      </c>
      <c r="D88">
        <v>277</v>
      </c>
    </row>
    <row r="89" spans="2:4" x14ac:dyDescent="0.3">
      <c r="B89" t="s">
        <v>93</v>
      </c>
      <c r="C89">
        <v>87</v>
      </c>
      <c r="D89">
        <v>317</v>
      </c>
    </row>
    <row r="90" spans="2:4" x14ac:dyDescent="0.3">
      <c r="B90" t="s">
        <v>94</v>
      </c>
      <c r="C90">
        <v>88</v>
      </c>
      <c r="D90">
        <v>313</v>
      </c>
    </row>
    <row r="91" spans="2:4" x14ac:dyDescent="0.3">
      <c r="B91" t="s">
        <v>95</v>
      </c>
      <c r="C91">
        <v>89</v>
      </c>
      <c r="D91">
        <v>318</v>
      </c>
    </row>
    <row r="92" spans="2:4" x14ac:dyDescent="0.3">
      <c r="B92" t="s">
        <v>96</v>
      </c>
      <c r="C92">
        <v>90</v>
      </c>
      <c r="D92">
        <v>374</v>
      </c>
    </row>
    <row r="93" spans="2:4" x14ac:dyDescent="0.3">
      <c r="B93" t="s">
        <v>97</v>
      </c>
      <c r="C93">
        <v>91</v>
      </c>
      <c r="D93">
        <v>413</v>
      </c>
    </row>
    <row r="94" spans="2:4" x14ac:dyDescent="0.3">
      <c r="B94" t="s">
        <v>98</v>
      </c>
      <c r="C94">
        <v>92</v>
      </c>
      <c r="D94">
        <v>405</v>
      </c>
    </row>
    <row r="95" spans="2:4" x14ac:dyDescent="0.3">
      <c r="B95" t="s">
        <v>99</v>
      </c>
      <c r="C95">
        <v>93</v>
      </c>
      <c r="D95">
        <v>355</v>
      </c>
    </row>
    <row r="96" spans="2:4" x14ac:dyDescent="0.3">
      <c r="B96" t="s">
        <v>100</v>
      </c>
      <c r="C96">
        <v>94</v>
      </c>
      <c r="D96">
        <v>306</v>
      </c>
    </row>
    <row r="97" spans="2:4" x14ac:dyDescent="0.3">
      <c r="B97" t="s">
        <v>101</v>
      </c>
      <c r="C97">
        <v>95</v>
      </c>
      <c r="D97">
        <v>271</v>
      </c>
    </row>
    <row r="98" spans="2:4" x14ac:dyDescent="0.3">
      <c r="B98" t="s">
        <v>102</v>
      </c>
      <c r="C98">
        <v>96</v>
      </c>
      <c r="D98">
        <v>306</v>
      </c>
    </row>
    <row r="99" spans="2:4" x14ac:dyDescent="0.3">
      <c r="B99" t="s">
        <v>103</v>
      </c>
      <c r="C99">
        <v>97</v>
      </c>
      <c r="D99">
        <v>315</v>
      </c>
    </row>
    <row r="100" spans="2:4" x14ac:dyDescent="0.3">
      <c r="B100" t="s">
        <v>104</v>
      </c>
      <c r="C100">
        <v>98</v>
      </c>
      <c r="D100">
        <v>301</v>
      </c>
    </row>
    <row r="101" spans="2:4" x14ac:dyDescent="0.3">
      <c r="B101" t="s">
        <v>105</v>
      </c>
      <c r="C101">
        <v>99</v>
      </c>
      <c r="D101">
        <v>356</v>
      </c>
    </row>
    <row r="102" spans="2:4" x14ac:dyDescent="0.3">
      <c r="B102" t="s">
        <v>106</v>
      </c>
      <c r="C102">
        <v>100</v>
      </c>
      <c r="D102">
        <v>348</v>
      </c>
    </row>
    <row r="103" spans="2:4" x14ac:dyDescent="0.3">
      <c r="B103" t="s">
        <v>107</v>
      </c>
      <c r="C103">
        <v>101</v>
      </c>
      <c r="D103">
        <v>355</v>
      </c>
    </row>
    <row r="104" spans="2:4" x14ac:dyDescent="0.3">
      <c r="B104" t="s">
        <v>108</v>
      </c>
      <c r="C104">
        <v>102</v>
      </c>
      <c r="D104">
        <v>422</v>
      </c>
    </row>
    <row r="105" spans="2:4" x14ac:dyDescent="0.3">
      <c r="B105" t="s">
        <v>109</v>
      </c>
      <c r="C105">
        <v>103</v>
      </c>
      <c r="D105">
        <v>465</v>
      </c>
    </row>
    <row r="106" spans="2:4" x14ac:dyDescent="0.3">
      <c r="B106" t="s">
        <v>110</v>
      </c>
      <c r="C106">
        <v>104</v>
      </c>
      <c r="D106">
        <v>467</v>
      </c>
    </row>
    <row r="107" spans="2:4" x14ac:dyDescent="0.3">
      <c r="B107" t="s">
        <v>111</v>
      </c>
      <c r="C107">
        <v>105</v>
      </c>
      <c r="D107">
        <v>404</v>
      </c>
    </row>
    <row r="108" spans="2:4" x14ac:dyDescent="0.3">
      <c r="B108" t="s">
        <v>112</v>
      </c>
      <c r="C108">
        <v>106</v>
      </c>
      <c r="D108">
        <v>347</v>
      </c>
    </row>
    <row r="109" spans="2:4" x14ac:dyDescent="0.3">
      <c r="B109" t="s">
        <v>113</v>
      </c>
      <c r="C109">
        <v>107</v>
      </c>
      <c r="D109">
        <v>305</v>
      </c>
    </row>
    <row r="110" spans="2:4" x14ac:dyDescent="0.3">
      <c r="B110" t="s">
        <v>114</v>
      </c>
      <c r="C110">
        <v>108</v>
      </c>
      <c r="D110">
        <v>336</v>
      </c>
    </row>
    <row r="111" spans="2:4" x14ac:dyDescent="0.3">
      <c r="B111" t="s">
        <v>115</v>
      </c>
      <c r="C111">
        <v>109</v>
      </c>
      <c r="D111">
        <v>340</v>
      </c>
    </row>
    <row r="112" spans="2:4" x14ac:dyDescent="0.3">
      <c r="B112" t="s">
        <v>116</v>
      </c>
      <c r="C112">
        <v>110</v>
      </c>
      <c r="D112">
        <v>318</v>
      </c>
    </row>
    <row r="113" spans="2:4" x14ac:dyDescent="0.3">
      <c r="B113" t="s">
        <v>117</v>
      </c>
      <c r="C113">
        <v>111</v>
      </c>
      <c r="D113">
        <v>362</v>
      </c>
    </row>
    <row r="114" spans="2:4" x14ac:dyDescent="0.3">
      <c r="B114" t="s">
        <v>118</v>
      </c>
      <c r="C114">
        <v>112</v>
      </c>
      <c r="D114">
        <v>348</v>
      </c>
    </row>
    <row r="115" spans="2:4" x14ac:dyDescent="0.3">
      <c r="B115" t="s">
        <v>119</v>
      </c>
      <c r="C115">
        <v>113</v>
      </c>
      <c r="D115">
        <v>363</v>
      </c>
    </row>
    <row r="116" spans="2:4" x14ac:dyDescent="0.3">
      <c r="B116" t="s">
        <v>120</v>
      </c>
      <c r="C116">
        <v>114</v>
      </c>
      <c r="D116">
        <v>435</v>
      </c>
    </row>
    <row r="117" spans="2:4" x14ac:dyDescent="0.3">
      <c r="B117" t="s">
        <v>121</v>
      </c>
      <c r="C117">
        <v>115</v>
      </c>
      <c r="D117">
        <v>491</v>
      </c>
    </row>
    <row r="118" spans="2:4" x14ac:dyDescent="0.3">
      <c r="B118" t="s">
        <v>122</v>
      </c>
      <c r="C118">
        <v>116</v>
      </c>
      <c r="D118">
        <v>505</v>
      </c>
    </row>
    <row r="119" spans="2:4" x14ac:dyDescent="0.3">
      <c r="B119" t="s">
        <v>123</v>
      </c>
      <c r="C119">
        <v>117</v>
      </c>
      <c r="D119">
        <v>404</v>
      </c>
    </row>
    <row r="120" spans="2:4" x14ac:dyDescent="0.3">
      <c r="B120" t="s">
        <v>124</v>
      </c>
      <c r="C120">
        <v>118</v>
      </c>
      <c r="D120">
        <v>359</v>
      </c>
    </row>
    <row r="121" spans="2:4" x14ac:dyDescent="0.3">
      <c r="B121" t="s">
        <v>125</v>
      </c>
      <c r="C121">
        <v>119</v>
      </c>
      <c r="D121">
        <v>310</v>
      </c>
    </row>
    <row r="122" spans="2:4" x14ac:dyDescent="0.3">
      <c r="B122" t="s">
        <v>126</v>
      </c>
      <c r="C122">
        <v>120</v>
      </c>
      <c r="D122">
        <v>337</v>
      </c>
    </row>
    <row r="123" spans="2:4" x14ac:dyDescent="0.3">
      <c r="B123" t="s">
        <v>127</v>
      </c>
      <c r="C123">
        <v>121</v>
      </c>
      <c r="D123">
        <v>360</v>
      </c>
    </row>
    <row r="124" spans="2:4" x14ac:dyDescent="0.3">
      <c r="B124" t="s">
        <v>128</v>
      </c>
      <c r="C124">
        <v>122</v>
      </c>
      <c r="D124">
        <v>342</v>
      </c>
    </row>
    <row r="125" spans="2:4" x14ac:dyDescent="0.3">
      <c r="B125" t="s">
        <v>129</v>
      </c>
      <c r="C125">
        <v>123</v>
      </c>
      <c r="D125">
        <v>406</v>
      </c>
    </row>
    <row r="126" spans="2:4" x14ac:dyDescent="0.3">
      <c r="B126" t="s">
        <v>130</v>
      </c>
      <c r="C126">
        <v>124</v>
      </c>
      <c r="D126">
        <v>396</v>
      </c>
    </row>
    <row r="127" spans="2:4" x14ac:dyDescent="0.3">
      <c r="B127" t="s">
        <v>131</v>
      </c>
      <c r="C127">
        <v>125</v>
      </c>
      <c r="D127">
        <v>420</v>
      </c>
    </row>
    <row r="128" spans="2:4" x14ac:dyDescent="0.3">
      <c r="B128" t="s">
        <v>132</v>
      </c>
      <c r="C128">
        <v>126</v>
      </c>
      <c r="D128">
        <v>472</v>
      </c>
    </row>
    <row r="129" spans="2:4" x14ac:dyDescent="0.3">
      <c r="B129" t="s">
        <v>133</v>
      </c>
      <c r="C129">
        <v>127</v>
      </c>
      <c r="D129">
        <v>548</v>
      </c>
    </row>
    <row r="130" spans="2:4" x14ac:dyDescent="0.3">
      <c r="B130" t="s">
        <v>134</v>
      </c>
      <c r="C130">
        <v>128</v>
      </c>
      <c r="D130">
        <v>559</v>
      </c>
    </row>
    <row r="131" spans="2:4" x14ac:dyDescent="0.3">
      <c r="B131" t="s">
        <v>135</v>
      </c>
      <c r="C131">
        <v>129</v>
      </c>
      <c r="D131">
        <v>463</v>
      </c>
    </row>
    <row r="132" spans="2:4" x14ac:dyDescent="0.3">
      <c r="B132" t="s">
        <v>136</v>
      </c>
      <c r="C132">
        <v>130</v>
      </c>
      <c r="D132">
        <v>407</v>
      </c>
    </row>
    <row r="133" spans="2:4" x14ac:dyDescent="0.3">
      <c r="B133" t="s">
        <v>137</v>
      </c>
      <c r="C133">
        <v>131</v>
      </c>
      <c r="D133">
        <v>362</v>
      </c>
    </row>
    <row r="134" spans="2:4" x14ac:dyDescent="0.3">
      <c r="B134" t="s">
        <v>138</v>
      </c>
      <c r="C134">
        <v>132</v>
      </c>
      <c r="D134">
        <v>405</v>
      </c>
    </row>
    <row r="135" spans="2:4" x14ac:dyDescent="0.3">
      <c r="B135" t="s">
        <v>139</v>
      </c>
      <c r="C135">
        <v>133</v>
      </c>
      <c r="D135">
        <v>417</v>
      </c>
    </row>
    <row r="136" spans="2:4" x14ac:dyDescent="0.3">
      <c r="B136" t="s">
        <v>140</v>
      </c>
      <c r="C136">
        <v>134</v>
      </c>
      <c r="D136">
        <v>391</v>
      </c>
    </row>
    <row r="137" spans="2:4" x14ac:dyDescent="0.3">
      <c r="B137" t="s">
        <v>141</v>
      </c>
      <c r="C137">
        <v>135</v>
      </c>
      <c r="D137">
        <v>419</v>
      </c>
    </row>
    <row r="138" spans="2:4" x14ac:dyDescent="0.3">
      <c r="B138" t="s">
        <v>142</v>
      </c>
      <c r="C138">
        <v>136</v>
      </c>
      <c r="D138">
        <v>461</v>
      </c>
    </row>
    <row r="139" spans="2:4" x14ac:dyDescent="0.3">
      <c r="B139" t="s">
        <v>143</v>
      </c>
      <c r="C139">
        <v>137</v>
      </c>
      <c r="D139">
        <v>472</v>
      </c>
    </row>
    <row r="140" spans="2:4" x14ac:dyDescent="0.3">
      <c r="B140" t="s">
        <v>144</v>
      </c>
      <c r="C140">
        <v>138</v>
      </c>
      <c r="D140">
        <v>535</v>
      </c>
    </row>
    <row r="141" spans="2:4" x14ac:dyDescent="0.3">
      <c r="B141" t="s">
        <v>145</v>
      </c>
      <c r="C141">
        <v>139</v>
      </c>
      <c r="D141">
        <v>622</v>
      </c>
    </row>
    <row r="142" spans="2:4" x14ac:dyDescent="0.3">
      <c r="B142" t="s">
        <v>146</v>
      </c>
      <c r="C142">
        <v>140</v>
      </c>
      <c r="D142">
        <v>606</v>
      </c>
    </row>
    <row r="143" spans="2:4" x14ac:dyDescent="0.3">
      <c r="B143" t="s">
        <v>147</v>
      </c>
      <c r="C143">
        <v>141</v>
      </c>
      <c r="D143">
        <v>508</v>
      </c>
    </row>
    <row r="144" spans="2:4" x14ac:dyDescent="0.3">
      <c r="B144" t="s">
        <v>148</v>
      </c>
      <c r="C144">
        <v>142</v>
      </c>
      <c r="D144">
        <v>461</v>
      </c>
    </row>
    <row r="145" spans="2:4" x14ac:dyDescent="0.3">
      <c r="B145" t="s">
        <v>149</v>
      </c>
      <c r="C145">
        <v>143</v>
      </c>
      <c r="D145">
        <v>390</v>
      </c>
    </row>
    <row r="146" spans="2:4" x14ac:dyDescent="0.3">
      <c r="B146" t="s">
        <v>150</v>
      </c>
      <c r="C146">
        <v>144</v>
      </c>
      <c r="D146">
        <v>432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D1D5-F036-42FB-8831-4428D7A73FC0}">
  <sheetPr>
    <tabColor theme="6" tint="0.79998168889431442"/>
  </sheetPr>
  <dimension ref="B2:K37"/>
  <sheetViews>
    <sheetView workbookViewId="0">
      <selection activeCell="B13" sqref="B13"/>
    </sheetView>
  </sheetViews>
  <sheetFormatPr defaultRowHeight="14.4" x14ac:dyDescent="0.3"/>
  <cols>
    <col min="3" max="3" width="12.21875" customWidth="1"/>
    <col min="4" max="7" width="10.5546875" bestFit="1" customWidth="1"/>
  </cols>
  <sheetData>
    <row r="2" spans="2:11" x14ac:dyDescent="0.3">
      <c r="B2" s="11" t="s">
        <v>152</v>
      </c>
      <c r="C2" s="11"/>
    </row>
    <row r="3" spans="2:11" x14ac:dyDescent="0.3">
      <c r="B3" s="1" t="s">
        <v>153</v>
      </c>
      <c r="C3" s="3" t="str">
        <f>"SES"&amp;C7</f>
        <v>SES24</v>
      </c>
    </row>
    <row r="4" spans="2:11" x14ac:dyDescent="0.3">
      <c r="B4" s="1" t="s">
        <v>154</v>
      </c>
      <c r="C4" s="3" t="str" cm="1">
        <f t="array" ref="C4">_xll.RScript.CreateVector(tAirPassengers[[#Headers],[Passengers]],tAirPassengers[Passengers])</f>
        <v>Passengers</v>
      </c>
    </row>
    <row r="5" spans="2:11" x14ac:dyDescent="0.3">
      <c r="B5" s="1" t="s">
        <v>155</v>
      </c>
      <c r="C5" s="3"/>
    </row>
    <row r="6" spans="2:11" x14ac:dyDescent="0.3">
      <c r="B6" s="1" t="s">
        <v>156</v>
      </c>
      <c r="C6" s="3">
        <v>0.1</v>
      </c>
    </row>
    <row r="7" spans="2:11" x14ac:dyDescent="0.3">
      <c r="B7" s="1" t="s">
        <v>157</v>
      </c>
      <c r="C7" s="3">
        <v>24</v>
      </c>
    </row>
    <row r="10" spans="2:11" x14ac:dyDescent="0.3">
      <c r="B10" s="4" t="s">
        <v>158</v>
      </c>
      <c r="C10" s="5" t="str" cm="1">
        <f t="array" ref="C10">_xll.Forecast.SES(C3,C4, B5:C7)</f>
        <v>SES24</v>
      </c>
    </row>
    <row r="12" spans="2:11" x14ac:dyDescent="0.3">
      <c r="B12" s="1" t="s">
        <v>160</v>
      </c>
      <c r="C12" s="1"/>
      <c r="D12" s="1"/>
      <c r="E12" s="1"/>
      <c r="F12" s="1"/>
      <c r="G12" s="1"/>
      <c r="I12" t="str">
        <f>"plot(autoplot("&amp;C10&amp;"))"</f>
        <v>plot(autoplot(SES24))</v>
      </c>
      <c r="K12" t="str" cm="1">
        <f t="array" ref="K12">_xll.RScript.Evaluate(I12, TRUE)</f>
        <v>OK</v>
      </c>
    </row>
    <row r="13" spans="2:11" x14ac:dyDescent="0.3">
      <c r="B13" s="6" t="str" cm="1">
        <f t="array" ref="B13:G37">_xll.Model.Result(C10,,,TRUE)</f>
        <v>Index</v>
      </c>
      <c r="C13" s="6" t="str">
        <v>Point Forecast</v>
      </c>
      <c r="D13" s="6" t="str">
        <v>Lo 80</v>
      </c>
      <c r="E13" s="6" t="str">
        <v>Hi 80</v>
      </c>
      <c r="F13" s="6" t="str">
        <v>Lo 95</v>
      </c>
      <c r="G13" s="6" t="str">
        <v>Hi 95</v>
      </c>
    </row>
    <row r="14" spans="2:11" x14ac:dyDescent="0.3">
      <c r="B14" s="6" t="str">
        <v>145</v>
      </c>
      <c r="C14" s="7">
        <v>460.30277779828714</v>
      </c>
      <c r="D14" s="7">
        <v>393.02060078869152</v>
      </c>
      <c r="E14" s="7">
        <v>527.5849548078827</v>
      </c>
      <c r="F14" s="7">
        <v>357.40356774253166</v>
      </c>
      <c r="G14" s="7">
        <v>563.20198785404261</v>
      </c>
    </row>
    <row r="15" spans="2:11" x14ac:dyDescent="0.3">
      <c r="B15" s="6" t="str">
        <v>146</v>
      </c>
      <c r="C15" s="7">
        <v>460.30277779828714</v>
      </c>
      <c r="D15" s="7">
        <v>392.68502675181963</v>
      </c>
      <c r="E15" s="7">
        <v>527.9205288447547</v>
      </c>
      <c r="F15" s="7">
        <v>356.89035154109365</v>
      </c>
      <c r="G15" s="7">
        <v>563.71520405548063</v>
      </c>
    </row>
    <row r="16" spans="2:11" x14ac:dyDescent="0.3">
      <c r="B16" s="6" t="str">
        <v>147</v>
      </c>
      <c r="C16" s="7">
        <v>460.30277779828714</v>
      </c>
      <c r="D16" s="7">
        <v>392.35110990107091</v>
      </c>
      <c r="E16" s="7">
        <v>528.25444569550336</v>
      </c>
      <c r="F16" s="7">
        <v>356.3796697871212</v>
      </c>
      <c r="G16" s="7">
        <v>564.22588580945308</v>
      </c>
    </row>
    <row r="17" spans="2:7" x14ac:dyDescent="0.3">
      <c r="B17" s="6" t="str">
        <v>148</v>
      </c>
      <c r="C17" s="7">
        <v>460.30277779828714</v>
      </c>
      <c r="D17" s="7">
        <v>392.01882592491449</v>
      </c>
      <c r="E17" s="7">
        <v>528.58672967165978</v>
      </c>
      <c r="F17" s="7">
        <v>355.8714852993362</v>
      </c>
      <c r="G17" s="7">
        <v>564.73407029723808</v>
      </c>
    </row>
    <row r="18" spans="2:7" x14ac:dyDescent="0.3">
      <c r="B18" s="6" t="str">
        <v>149</v>
      </c>
      <c r="C18" s="7">
        <v>460.30277779828714</v>
      </c>
      <c r="D18" s="7">
        <v>391.68815110050076</v>
      </c>
      <c r="E18" s="7">
        <v>528.91740449607346</v>
      </c>
      <c r="F18" s="7">
        <v>355.3657617967711</v>
      </c>
      <c r="G18" s="7">
        <v>565.23979379980324</v>
      </c>
    </row>
    <row r="19" spans="2:7" x14ac:dyDescent="0.3">
      <c r="B19" s="6" t="str">
        <v>150</v>
      </c>
      <c r="C19" s="7">
        <v>460.30277779828714</v>
      </c>
      <c r="D19" s="7">
        <v>391.35906227389665</v>
      </c>
      <c r="E19" s="7">
        <v>529.24649332267768</v>
      </c>
      <c r="F19" s="7">
        <v>354.862463868541</v>
      </c>
      <c r="G19" s="7">
        <v>565.74309172803328</v>
      </c>
    </row>
    <row r="20" spans="2:7" x14ac:dyDescent="0.3">
      <c r="B20" s="6" t="str">
        <v>151</v>
      </c>
      <c r="C20" s="7">
        <v>460.30277779828714</v>
      </c>
      <c r="D20" s="7">
        <v>391.03153684116563</v>
      </c>
      <c r="E20" s="7">
        <v>529.57401875540859</v>
      </c>
      <c r="F20" s="7">
        <v>354.36155694490822</v>
      </c>
      <c r="G20" s="7">
        <v>566.24399865166606</v>
      </c>
    </row>
    <row r="21" spans="2:7" x14ac:dyDescent="0.3">
      <c r="B21" s="6" t="str">
        <v>152</v>
      </c>
      <c r="C21" s="7">
        <v>460.30277779828714</v>
      </c>
      <c r="D21" s="7">
        <v>390.70555273024945</v>
      </c>
      <c r="E21" s="7">
        <v>529.90000286632483</v>
      </c>
      <c r="F21" s="7">
        <v>353.86300726957268</v>
      </c>
      <c r="G21" s="7">
        <v>566.7425483270016</v>
      </c>
    </row>
    <row r="22" spans="2:7" x14ac:dyDescent="0.3">
      <c r="B22" s="6" t="str">
        <v>153</v>
      </c>
      <c r="C22" s="7">
        <v>460.30277779828714</v>
      </c>
      <c r="D22" s="7">
        <v>390.38108838360984</v>
      </c>
      <c r="E22" s="7">
        <v>530.22446721296444</v>
      </c>
      <c r="F22" s="7">
        <v>353.36678187312464</v>
      </c>
      <c r="G22" s="7">
        <v>567.23877372344964</v>
      </c>
    </row>
    <row r="23" spans="2:7" x14ac:dyDescent="0.3">
      <c r="B23" s="6" t="str">
        <v>154</v>
      </c>
      <c r="C23" s="7">
        <v>460.30277779828714</v>
      </c>
      <c r="D23" s="7">
        <v>390.05812274159189</v>
      </c>
      <c r="E23" s="7">
        <v>530.54743285498239</v>
      </c>
      <c r="F23" s="7">
        <v>352.87284854760134</v>
      </c>
      <c r="G23" s="7">
        <v>567.732707048973</v>
      </c>
    </row>
    <row r="24" spans="2:7" x14ac:dyDescent="0.3">
      <c r="B24" s="6" t="str">
        <v>155</v>
      </c>
      <c r="C24" s="7">
        <v>460.30277779828714</v>
      </c>
      <c r="D24" s="7">
        <v>389.73663522647291</v>
      </c>
      <c r="E24" s="7">
        <v>530.86892037010136</v>
      </c>
      <c r="F24" s="7">
        <v>352.38117582209173</v>
      </c>
      <c r="G24" s="7">
        <v>568.22437977448249</v>
      </c>
    </row>
    <row r="25" spans="2:7" x14ac:dyDescent="0.3">
      <c r="B25" s="6" t="str">
        <v>156</v>
      </c>
      <c r="C25" s="7">
        <v>460.30277779828714</v>
      </c>
      <c r="D25" s="7">
        <v>389.41660572716233</v>
      </c>
      <c r="E25" s="7">
        <v>531.188949869412</v>
      </c>
      <c r="F25" s="7">
        <v>351.89173293933686</v>
      </c>
      <c r="G25" s="7">
        <v>568.71382265723742</v>
      </c>
    </row>
    <row r="26" spans="2:7" x14ac:dyDescent="0.3">
      <c r="B26" s="6" t="str">
        <v>157</v>
      </c>
      <c r="C26" s="7">
        <v>460.30277779828714</v>
      </c>
      <c r="D26" s="7">
        <v>389.09801458452017</v>
      </c>
      <c r="E26" s="7">
        <v>531.50754101205416</v>
      </c>
      <c r="F26" s="7">
        <v>351.40448983327678</v>
      </c>
      <c r="G26" s="7">
        <v>569.20106576329749</v>
      </c>
    </row>
    <row r="27" spans="2:7" x14ac:dyDescent="0.3">
      <c r="B27" s="6" t="str">
        <v>158</v>
      </c>
      <c r="C27" s="7">
        <v>460.30277779828714</v>
      </c>
      <c r="D27" s="7">
        <v>388.78084257726471</v>
      </c>
      <c r="E27" s="7">
        <v>531.82471301930957</v>
      </c>
      <c r="F27" s="7">
        <v>350.91941710749791</v>
      </c>
      <c r="G27" s="7">
        <v>569.68613848907637</v>
      </c>
    </row>
    <row r="28" spans="2:7" x14ac:dyDescent="0.3">
      <c r="B28" s="6" t="str">
        <v>159</v>
      </c>
      <c r="C28" s="7">
        <v>460.30277779828714</v>
      </c>
      <c r="D28" s="7">
        <v>388.46507090843971</v>
      </c>
      <c r="E28" s="7">
        <v>532.14048468813462</v>
      </c>
      <c r="F28" s="7">
        <v>350.43648601453629</v>
      </c>
      <c r="G28" s="7">
        <v>570.16906958203799</v>
      </c>
    </row>
    <row r="29" spans="2:7" x14ac:dyDescent="0.3">
      <c r="B29" s="6" t="str">
        <v>160</v>
      </c>
      <c r="C29" s="7">
        <v>460.30277779828714</v>
      </c>
      <c r="D29" s="7">
        <v>388.15068119241477</v>
      </c>
      <c r="E29" s="7">
        <v>532.45487440415945</v>
      </c>
      <c r="F29" s="7">
        <v>349.95566843599681</v>
      </c>
      <c r="G29" s="7">
        <v>570.64988716057746</v>
      </c>
    </row>
    <row r="30" spans="2:7" x14ac:dyDescent="0.3">
      <c r="B30" s="6" t="str">
        <v>161</v>
      </c>
      <c r="C30" s="7">
        <v>460.30277779828714</v>
      </c>
      <c r="D30" s="7">
        <v>387.83765544239344</v>
      </c>
      <c r="E30" s="7">
        <v>532.76790015418078</v>
      </c>
      <c r="F30" s="7">
        <v>349.47693686344803</v>
      </c>
      <c r="G30" s="7">
        <v>571.12861873312625</v>
      </c>
    </row>
    <row r="31" spans="2:7" x14ac:dyDescent="0.3">
      <c r="B31" s="6" t="str">
        <v>162</v>
      </c>
      <c r="C31" s="7">
        <v>460.30277779828714</v>
      </c>
      <c r="D31" s="7">
        <v>387.52597605840475</v>
      </c>
      <c r="E31" s="7">
        <v>533.07957953816958</v>
      </c>
      <c r="F31" s="7">
        <v>349.00026438005727</v>
      </c>
      <c r="G31" s="7">
        <v>571.605291216517</v>
      </c>
    </row>
    <row r="32" spans="2:7" x14ac:dyDescent="0.3">
      <c r="B32" s="6" t="str">
        <v>163</v>
      </c>
      <c r="C32" s="7">
        <v>460.30277779828714</v>
      </c>
      <c r="D32" s="7">
        <v>387.21562581575563</v>
      </c>
      <c r="E32" s="7">
        <v>533.38992978081865</v>
      </c>
      <c r="F32" s="7">
        <v>348.52562464292976</v>
      </c>
      <c r="G32" s="7">
        <v>572.07993095364452</v>
      </c>
    </row>
    <row r="33" spans="2:7" x14ac:dyDescent="0.3">
      <c r="B33" s="6" t="str">
        <v>164</v>
      </c>
      <c r="C33" s="7">
        <v>460.30277779828714</v>
      </c>
      <c r="D33" s="7">
        <v>386.90658785392316</v>
      </c>
      <c r="E33" s="7">
        <v>533.69896774265112</v>
      </c>
      <c r="F33" s="7">
        <v>348.05299186612064</v>
      </c>
      <c r="G33" s="7">
        <v>572.55256373045358</v>
      </c>
    </row>
    <row r="34" spans="2:7" x14ac:dyDescent="0.3">
      <c r="B34" s="6" t="str">
        <v>165</v>
      </c>
      <c r="C34" s="7">
        <v>460.30277779828714</v>
      </c>
      <c r="D34" s="7">
        <v>386.59884566586516</v>
      </c>
      <c r="E34" s="7">
        <v>534.00670993070912</v>
      </c>
      <c r="F34" s="7">
        <v>347.5823408042877</v>
      </c>
      <c r="G34" s="7">
        <v>573.02321479228658</v>
      </c>
    </row>
    <row r="35" spans="2:7" x14ac:dyDescent="0.3">
      <c r="B35" s="6" t="str">
        <v>166</v>
      </c>
      <c r="C35" s="7">
        <v>460.30277779828714</v>
      </c>
      <c r="D35" s="7">
        <v>386.29238308773199</v>
      </c>
      <c r="E35" s="7">
        <v>534.31317250884229</v>
      </c>
      <c r="F35" s="7">
        <v>347.11364673695607</v>
      </c>
      <c r="G35" s="7">
        <v>573.49190885961821</v>
      </c>
    </row>
    <row r="36" spans="2:7" x14ac:dyDescent="0.3">
      <c r="B36" s="6" t="str">
        <v>167</v>
      </c>
      <c r="C36" s="7">
        <v>460.30277779828714</v>
      </c>
      <c r="D36" s="7">
        <v>385.98718428895916</v>
      </c>
      <c r="E36" s="7">
        <v>534.61837130761512</v>
      </c>
      <c r="F36" s="7">
        <v>346.64688545336662</v>
      </c>
      <c r="G36" s="7">
        <v>573.95867014320766</v>
      </c>
    </row>
    <row r="37" spans="2:7" x14ac:dyDescent="0.3">
      <c r="B37" s="6" t="str">
        <v>168</v>
      </c>
      <c r="C37" s="7">
        <v>460.30277779828714</v>
      </c>
      <c r="D37" s="7">
        <v>385.68323376272508</v>
      </c>
      <c r="E37" s="7">
        <v>534.9223218338492</v>
      </c>
      <c r="F37" s="7">
        <v>346.18203323788237</v>
      </c>
      <c r="G37" s="7">
        <v>574.42352235869191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87E2-69CA-4135-BECC-646ED3B92BD1}">
  <sheetPr>
    <tabColor theme="6" tint="0.79998168889431442"/>
  </sheetPr>
  <dimension ref="B2:K46"/>
  <sheetViews>
    <sheetView workbookViewId="0">
      <selection activeCell="E17" sqref="E17"/>
    </sheetView>
  </sheetViews>
  <sheetFormatPr defaultRowHeight="14.4" x14ac:dyDescent="0.3"/>
  <cols>
    <col min="3" max="3" width="11.109375" customWidth="1"/>
  </cols>
  <sheetData>
    <row r="2" spans="2:5" x14ac:dyDescent="0.3">
      <c r="B2" s="9"/>
      <c r="C2" s="1" t="s">
        <v>153</v>
      </c>
      <c r="D2" s="1" t="s">
        <v>170</v>
      </c>
    </row>
    <row r="3" spans="2:5" x14ac:dyDescent="0.3">
      <c r="B3" s="1" t="s">
        <v>171</v>
      </c>
      <c r="C3" s="9" t="str" cm="1">
        <f t="array" ref="C3">_xll.RScript.CreateVector(tAirPassengers[[#Headers],[Passengers]],tAirPassengers[Passengers])</f>
        <v>Passengers</v>
      </c>
      <c r="D3" s="9" cm="1">
        <f t="array" ref="D3">_xll.RScript.Evaluate("frequency(Passengers)")</f>
        <v>1</v>
      </c>
    </row>
    <row r="4" spans="2:5" x14ac:dyDescent="0.3">
      <c r="B4" s="1" t="s">
        <v>172</v>
      </c>
      <c r="C4" s="9" t="str" cm="1">
        <f t="array" ref="C4">_xll.RScript.Evaluate("Passengers = ts(Passengers, frequency=12)")</f>
        <v>Passengers</v>
      </c>
      <c r="D4" s="9" cm="1">
        <f t="array" ref="D4">_xll.RScript.Evaluate("frequency(Passengers)")</f>
        <v>12</v>
      </c>
    </row>
    <row r="8" spans="2:5" x14ac:dyDescent="0.3">
      <c r="B8" s="11" t="s">
        <v>152</v>
      </c>
      <c r="C8" s="11"/>
    </row>
    <row r="9" spans="2:5" x14ac:dyDescent="0.3">
      <c r="B9" s="1" t="s">
        <v>153</v>
      </c>
      <c r="C9" s="3" t="str">
        <f>"HOLT"&amp;C12</f>
        <v>HOLT24</v>
      </c>
    </row>
    <row r="10" spans="2:5" x14ac:dyDescent="0.3">
      <c r="B10" s="1" t="s">
        <v>154</v>
      </c>
      <c r="C10" s="3" t="str" cm="1">
        <f t="array" ref="C10">_xll.RScript.CreateVector(tAirPassengers[[#Headers],[Passengers]],tAirPassengers[Passengers])</f>
        <v>Passengers</v>
      </c>
      <c r="E10" t="s">
        <v>178</v>
      </c>
    </row>
    <row r="11" spans="2:5" x14ac:dyDescent="0.3">
      <c r="B11" s="1" t="s">
        <v>156</v>
      </c>
      <c r="C11" s="3"/>
      <c r="E11" t="s">
        <v>177</v>
      </c>
    </row>
    <row r="12" spans="2:5" x14ac:dyDescent="0.3">
      <c r="B12" s="1" t="s">
        <v>157</v>
      </c>
      <c r="C12" s="3">
        <v>24</v>
      </c>
      <c r="E12" t="s">
        <v>179</v>
      </c>
    </row>
    <row r="13" spans="2:5" x14ac:dyDescent="0.3">
      <c r="B13" s="1" t="s">
        <v>166</v>
      </c>
      <c r="C13" s="3" t="s">
        <v>167</v>
      </c>
      <c r="E13" t="s">
        <v>180</v>
      </c>
    </row>
    <row r="14" spans="2:5" x14ac:dyDescent="0.3">
      <c r="B14" s="1" t="s">
        <v>174</v>
      </c>
      <c r="C14" s="3" t="b">
        <v>1</v>
      </c>
      <c r="E14" t="s">
        <v>181</v>
      </c>
    </row>
    <row r="15" spans="2:5" x14ac:dyDescent="0.3">
      <c r="B15" s="1" t="s">
        <v>175</v>
      </c>
      <c r="C15" s="3" t="b">
        <v>1</v>
      </c>
      <c r="E15" t="s">
        <v>182</v>
      </c>
    </row>
    <row r="16" spans="2:5" x14ac:dyDescent="0.3">
      <c r="B16" s="1" t="s">
        <v>161</v>
      </c>
      <c r="C16" s="3"/>
      <c r="E16" t="s">
        <v>183</v>
      </c>
    </row>
    <row r="17" spans="2:11" x14ac:dyDescent="0.3">
      <c r="B17" s="1" t="s">
        <v>176</v>
      </c>
      <c r="C17" s="3"/>
      <c r="E17" t="s">
        <v>184</v>
      </c>
    </row>
    <row r="19" spans="2:11" x14ac:dyDescent="0.3">
      <c r="B19" s="4" t="s">
        <v>158</v>
      </c>
      <c r="C19" s="5" t="str" cm="1">
        <f t="array" ref="C19">_xll.Forecast.Holt(C9,C10, B11:C15)</f>
        <v>HOLT24</v>
      </c>
    </row>
    <row r="21" spans="2:11" x14ac:dyDescent="0.3">
      <c r="B21" s="1" t="s">
        <v>160</v>
      </c>
      <c r="C21" s="1"/>
      <c r="D21" s="1"/>
      <c r="E21" s="1"/>
      <c r="F21" s="1"/>
      <c r="G21" s="1"/>
      <c r="I21" t="str">
        <f>"plot(autoplot("&amp;C19&amp;"))"</f>
        <v>plot(autoplot(HOLT24))</v>
      </c>
      <c r="K21" s="8" t="str" cm="1">
        <f t="array" ref="K21">_xll.RScript.Evaluate(I21, TRUE)</f>
        <v>OK</v>
      </c>
    </row>
    <row r="22" spans="2:11" x14ac:dyDescent="0.3">
      <c r="B22" s="6" t="str" cm="1">
        <f t="array" ref="B22:G46">_xll.Model.Result(C19,,,TRUE)</f>
        <v>Index</v>
      </c>
      <c r="C22" s="6" t="str">
        <v>Point Forecast</v>
      </c>
      <c r="D22" s="6" t="str">
        <v>Lo 80</v>
      </c>
      <c r="E22" s="6" t="str">
        <v>Hi 80</v>
      </c>
      <c r="F22" s="6" t="str">
        <v>Lo 95</v>
      </c>
      <c r="G22" s="6" t="str">
        <v>Hi 95</v>
      </c>
    </row>
    <row r="23" spans="2:11" x14ac:dyDescent="0.3">
      <c r="B23" s="6" t="str">
        <v>145</v>
      </c>
      <c r="C23" s="7">
        <v>432.0345206025458</v>
      </c>
      <c r="D23" s="7">
        <v>373.40418521067613</v>
      </c>
      <c r="E23" s="7">
        <v>492.77415854076276</v>
      </c>
      <c r="F23" s="7">
        <v>339.05802517440873</v>
      </c>
      <c r="G23" s="7">
        <v>525.27897339388801</v>
      </c>
    </row>
    <row r="24" spans="2:11" x14ac:dyDescent="0.3">
      <c r="B24" s="6" t="str">
        <v>146</v>
      </c>
      <c r="C24" s="7">
        <v>432.07324171052812</v>
      </c>
      <c r="D24" s="7">
        <v>347.91303437662862</v>
      </c>
      <c r="E24" s="7">
        <v>519.37954670473698</v>
      </c>
      <c r="F24" s="7">
        <v>310.67996789415406</v>
      </c>
      <c r="G24" s="7">
        <v>567.86055551518575</v>
      </c>
    </row>
    <row r="25" spans="2:11" x14ac:dyDescent="0.3">
      <c r="B25" s="6" t="str">
        <v>147</v>
      </c>
      <c r="C25" s="7">
        <v>432.11049246927291</v>
      </c>
      <c r="D25" s="7">
        <v>329.72106765710862</v>
      </c>
      <c r="E25" s="7">
        <v>542.05743379947592</v>
      </c>
      <c r="F25" s="7">
        <v>286.1407953952048</v>
      </c>
      <c r="G25" s="7">
        <v>602.96893508485721</v>
      </c>
    </row>
    <row r="26" spans="2:11" x14ac:dyDescent="0.3">
      <c r="B26" s="6" t="str">
        <v>148</v>
      </c>
      <c r="C26" s="7">
        <v>432.14632859216886</v>
      </c>
      <c r="D26" s="7">
        <v>315.48659192488736</v>
      </c>
      <c r="E26" s="7">
        <v>562.49117389010928</v>
      </c>
      <c r="F26" s="7">
        <v>269.97786238579147</v>
      </c>
      <c r="G26" s="7">
        <v>641.84723041732548</v>
      </c>
    </row>
    <row r="27" spans="2:11" x14ac:dyDescent="0.3">
      <c r="B27" s="6" t="str">
        <v>149</v>
      </c>
      <c r="C27" s="7">
        <v>432.18080369050796</v>
      </c>
      <c r="D27" s="7">
        <v>301.20994032454746</v>
      </c>
      <c r="E27" s="7">
        <v>569.33394116561556</v>
      </c>
      <c r="F27" s="7">
        <v>252.61392548127037</v>
      </c>
      <c r="G27" s="7">
        <v>668.15476485472368</v>
      </c>
    </row>
    <row r="28" spans="2:11" x14ac:dyDescent="0.3">
      <c r="B28" s="6" t="str">
        <v>150</v>
      </c>
      <c r="C28" s="7">
        <v>432.21396935212897</v>
      </c>
      <c r="D28" s="7">
        <v>294.35381464591154</v>
      </c>
      <c r="E28" s="7">
        <v>590.42355552335493</v>
      </c>
      <c r="F28" s="7">
        <v>241.19738446672844</v>
      </c>
      <c r="G28" s="7">
        <v>692.07372760507519</v>
      </c>
    </row>
    <row r="29" spans="2:11" x14ac:dyDescent="0.3">
      <c r="B29" s="6" t="str">
        <v>151</v>
      </c>
      <c r="C29" s="7">
        <v>432.24587521716984</v>
      </c>
      <c r="D29" s="7">
        <v>283.35876630255012</v>
      </c>
      <c r="E29" s="7">
        <v>599.34911448110222</v>
      </c>
      <c r="F29" s="7">
        <v>229.32822779724765</v>
      </c>
      <c r="G29" s="7">
        <v>718.79958871044084</v>
      </c>
    </row>
    <row r="30" spans="2:11" x14ac:dyDescent="0.3">
      <c r="B30" s="6" t="str">
        <v>152</v>
      </c>
      <c r="C30" s="7">
        <v>432.27656905102936</v>
      </c>
      <c r="D30" s="7">
        <v>274.02251846982887</v>
      </c>
      <c r="E30" s="7">
        <v>610.18577158578296</v>
      </c>
      <c r="F30" s="7">
        <v>220.24125952435355</v>
      </c>
      <c r="G30" s="7">
        <v>757.89768949440543</v>
      </c>
    </row>
    <row r="31" spans="2:11" x14ac:dyDescent="0.3">
      <c r="B31" s="6" t="str">
        <v>153</v>
      </c>
      <c r="C31" s="7">
        <v>432.30609681463972</v>
      </c>
      <c r="D31" s="7">
        <v>264.28838178477309</v>
      </c>
      <c r="E31" s="7">
        <v>622.93959248914518</v>
      </c>
      <c r="F31" s="7">
        <v>206.06809970397148</v>
      </c>
      <c r="G31" s="7">
        <v>771.59496004753919</v>
      </c>
    </row>
    <row r="32" spans="2:11" x14ac:dyDescent="0.3">
      <c r="B32" s="6" t="str">
        <v>154</v>
      </c>
      <c r="C32" s="7">
        <v>432.33450273214413</v>
      </c>
      <c r="D32" s="7">
        <v>258.09645958121655</v>
      </c>
      <c r="E32" s="7">
        <v>632.62775097501867</v>
      </c>
      <c r="F32" s="7">
        <v>196.14902334751815</v>
      </c>
      <c r="G32" s="7">
        <v>799.13353766979844</v>
      </c>
    </row>
    <row r="33" spans="2:7" x14ac:dyDescent="0.3">
      <c r="B33" s="6" t="str">
        <v>155</v>
      </c>
      <c r="C33" s="7">
        <v>432.36182935607303</v>
      </c>
      <c r="D33" s="7">
        <v>251.70936941389476</v>
      </c>
      <c r="E33" s="7">
        <v>649.79502205093013</v>
      </c>
      <c r="F33" s="7">
        <v>189.35315662986551</v>
      </c>
      <c r="G33" s="7">
        <v>822.28437831470796</v>
      </c>
    </row>
    <row r="34" spans="2:7" x14ac:dyDescent="0.3">
      <c r="B34" s="6" t="str">
        <v>156</v>
      </c>
      <c r="C34" s="7">
        <v>432.3881176301087</v>
      </c>
      <c r="D34" s="7">
        <v>245.87974681595082</v>
      </c>
      <c r="E34" s="7">
        <v>659.20911420088635</v>
      </c>
      <c r="F34" s="7">
        <v>183.82744394207526</v>
      </c>
      <c r="G34" s="7">
        <v>840.56115112212296</v>
      </c>
    </row>
    <row r="35" spans="2:7" x14ac:dyDescent="0.3">
      <c r="B35" s="6" t="str">
        <v>157</v>
      </c>
      <c r="C35" s="7">
        <v>432.41340694952407</v>
      </c>
      <c r="D35" s="7">
        <v>239.18371647989773</v>
      </c>
      <c r="E35" s="7">
        <v>667.72191535110517</v>
      </c>
      <c r="F35" s="7">
        <v>179.94020394636908</v>
      </c>
      <c r="G35" s="7">
        <v>865.74831660176233</v>
      </c>
    </row>
    <row r="36" spans="2:7" x14ac:dyDescent="0.3">
      <c r="B36" s="6" t="str">
        <v>158</v>
      </c>
      <c r="C36" s="7">
        <v>432.43773521938112</v>
      </c>
      <c r="D36" s="7">
        <v>234.0704968843952</v>
      </c>
      <c r="E36" s="7">
        <v>671.27191616027335</v>
      </c>
      <c r="F36" s="7">
        <v>174.35695671163694</v>
      </c>
      <c r="G36" s="7">
        <v>891.70468169950675</v>
      </c>
    </row>
    <row r="37" spans="2:7" x14ac:dyDescent="0.3">
      <c r="B37" s="6" t="str">
        <v>159</v>
      </c>
      <c r="C37" s="7">
        <v>432.46113891056814</v>
      </c>
      <c r="D37" s="7">
        <v>228.46711064841401</v>
      </c>
      <c r="E37" s="7">
        <v>677.45408294288666</v>
      </c>
      <c r="F37" s="7">
        <v>166.00569388519853</v>
      </c>
      <c r="G37" s="7">
        <v>910.80746677022876</v>
      </c>
    </row>
    <row r="38" spans="2:7" x14ac:dyDescent="0.3">
      <c r="B38" s="6" t="str">
        <v>160</v>
      </c>
      <c r="C38" s="7">
        <v>432.48365311375443</v>
      </c>
      <c r="D38" s="7">
        <v>221.84267027432827</v>
      </c>
      <c r="E38" s="7">
        <v>687.74887500939781</v>
      </c>
      <c r="F38" s="7">
        <v>159.7191740168596</v>
      </c>
      <c r="G38" s="7">
        <v>954.38481806501545</v>
      </c>
    </row>
    <row r="39" spans="2:7" x14ac:dyDescent="0.3">
      <c r="B39" s="6" t="str">
        <v>161</v>
      </c>
      <c r="C39" s="7">
        <v>432.50531159133971</v>
      </c>
      <c r="D39" s="7">
        <v>216.04757620107327</v>
      </c>
      <c r="E39" s="7">
        <v>699.48433175030095</v>
      </c>
      <c r="F39" s="7">
        <v>153.22578651724194</v>
      </c>
      <c r="G39" s="7">
        <v>959.15797137815866</v>
      </c>
    </row>
    <row r="40" spans="2:7" x14ac:dyDescent="0.3">
      <c r="B40" s="6" t="str">
        <v>162</v>
      </c>
      <c r="C40" s="7">
        <v>432.52614682746747</v>
      </c>
      <c r="D40" s="7">
        <v>210.23281086590384</v>
      </c>
      <c r="E40" s="7">
        <v>706.49288632246692</v>
      </c>
      <c r="F40" s="7">
        <v>149.3125270433919</v>
      </c>
      <c r="G40" s="7">
        <v>976.06850734213958</v>
      </c>
    </row>
    <row r="41" spans="2:7" x14ac:dyDescent="0.3">
      <c r="B41" s="6" t="str">
        <v>163</v>
      </c>
      <c r="C41" s="7">
        <v>432.54619007617686</v>
      </c>
      <c r="D41" s="7">
        <v>207.89276487655411</v>
      </c>
      <c r="E41" s="7">
        <v>718.9197619878862</v>
      </c>
      <c r="F41" s="7">
        <v>147.50021503110099</v>
      </c>
      <c r="G41" s="7">
        <v>998.86670986243735</v>
      </c>
    </row>
    <row r="42" spans="2:7" x14ac:dyDescent="0.3">
      <c r="B42" s="6" t="str">
        <v>164</v>
      </c>
      <c r="C42" s="7">
        <v>432.56547140775746</v>
      </c>
      <c r="D42" s="7">
        <v>204.61229998313729</v>
      </c>
      <c r="E42" s="7">
        <v>717.6769381629789</v>
      </c>
      <c r="F42" s="7">
        <v>142.87941288154045</v>
      </c>
      <c r="G42" s="7">
        <v>1019.5250510270459</v>
      </c>
    </row>
    <row r="43" spans="2:7" x14ac:dyDescent="0.3">
      <c r="B43" s="6" t="str">
        <v>165</v>
      </c>
      <c r="C43" s="7">
        <v>432.58401975337557</v>
      </c>
      <c r="D43" s="7">
        <v>199.99219848823188</v>
      </c>
      <c r="E43" s="7">
        <v>726.54142020576614</v>
      </c>
      <c r="F43" s="7">
        <v>139.63624608840436</v>
      </c>
      <c r="G43" s="7">
        <v>1037.0193954115805</v>
      </c>
    </row>
    <row r="44" spans="2:7" x14ac:dyDescent="0.3">
      <c r="B44" s="6" t="str">
        <v>166</v>
      </c>
      <c r="C44" s="7">
        <v>432.60186294803236</v>
      </c>
      <c r="D44" s="7">
        <v>195.55940890055268</v>
      </c>
      <c r="E44" s="7">
        <v>731.71407417954367</v>
      </c>
      <c r="F44" s="7">
        <v>134.91860220634464</v>
      </c>
      <c r="G44" s="7">
        <v>1065.0464360005226</v>
      </c>
    </row>
    <row r="45" spans="2:7" x14ac:dyDescent="0.3">
      <c r="B45" s="6" t="str">
        <v>167</v>
      </c>
      <c r="C45" s="7">
        <v>432.61902777191756</v>
      </c>
      <c r="D45" s="7">
        <v>190.27283106955468</v>
      </c>
      <c r="E45" s="7">
        <v>731.59897235208132</v>
      </c>
      <c r="F45" s="7">
        <v>130.92450781175469</v>
      </c>
      <c r="G45" s="7">
        <v>1079.545516437111</v>
      </c>
    </row>
    <row r="46" spans="2:7" x14ac:dyDescent="0.3">
      <c r="B46" s="6" t="str">
        <v>168</v>
      </c>
      <c r="C46" s="7">
        <v>432.63553999021588</v>
      </c>
      <c r="D46" s="7">
        <v>186.09262635748047</v>
      </c>
      <c r="E46" s="7">
        <v>745.01814823144741</v>
      </c>
      <c r="F46" s="7">
        <v>130.04044840779528</v>
      </c>
      <c r="G46" s="7">
        <v>1120.5886087238437</v>
      </c>
    </row>
  </sheetData>
  <mergeCells count="1">
    <mergeCell ref="B8:C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7076-7E7F-46F9-9196-64F2FEF2C6B0}">
  <sheetPr>
    <tabColor theme="6" tint="0.79998168889431442"/>
  </sheetPr>
  <dimension ref="B2:K46"/>
  <sheetViews>
    <sheetView workbookViewId="0">
      <selection activeCell="J2" sqref="J2"/>
    </sheetView>
  </sheetViews>
  <sheetFormatPr defaultRowHeight="14.4" x14ac:dyDescent="0.3"/>
  <cols>
    <col min="3" max="3" width="11.109375" customWidth="1"/>
  </cols>
  <sheetData>
    <row r="2" spans="2:4" x14ac:dyDescent="0.3">
      <c r="B2" s="9"/>
      <c r="C2" s="1" t="s">
        <v>153</v>
      </c>
      <c r="D2" s="1" t="s">
        <v>170</v>
      </c>
    </row>
    <row r="3" spans="2:4" x14ac:dyDescent="0.3">
      <c r="B3" s="1" t="s">
        <v>171</v>
      </c>
      <c r="C3" s="9" t="str" cm="1">
        <f t="array" ref="C3">_xll.RScript.CreateVector(tAirPassengers[[#Headers],[Passengers]],tAirPassengers[Passengers])</f>
        <v>Passengers</v>
      </c>
      <c r="D3" s="9" cm="1">
        <f t="array" ref="D3">_xll.RScript.Evaluate("frequency(Passengers)")</f>
        <v>1</v>
      </c>
    </row>
    <row r="4" spans="2:4" x14ac:dyDescent="0.3">
      <c r="B4" s="1" t="s">
        <v>172</v>
      </c>
      <c r="C4" s="9" t="str" cm="1">
        <f t="array" ref="C4">_xll.RScript.Evaluate("Passengers = ts(Passengers, frequency=12)")</f>
        <v>Passengers</v>
      </c>
      <c r="D4" s="9" cm="1">
        <f t="array" ref="D4">_xll.RScript.Evaluate("frequency(Passengers)")</f>
        <v>12</v>
      </c>
    </row>
    <row r="8" spans="2:4" x14ac:dyDescent="0.3">
      <c r="B8" s="11" t="s">
        <v>152</v>
      </c>
      <c r="C8" s="11"/>
    </row>
    <row r="9" spans="2:4" x14ac:dyDescent="0.3">
      <c r="B9" s="1" t="s">
        <v>153</v>
      </c>
      <c r="C9" s="3" t="str">
        <f>"HW"&amp;C12</f>
        <v>HW24</v>
      </c>
    </row>
    <row r="10" spans="2:4" x14ac:dyDescent="0.3">
      <c r="B10" s="1" t="s">
        <v>154</v>
      </c>
      <c r="C10" s="3" t="str" cm="1">
        <f t="array" ref="C10">_xll.RScript.CreateVector(tAirPassengers[[#Headers],[Passengers]],tAirPassengers[Passengers])</f>
        <v>Passengers</v>
      </c>
    </row>
    <row r="11" spans="2:4" x14ac:dyDescent="0.3">
      <c r="B11" s="1" t="s">
        <v>156</v>
      </c>
      <c r="C11" s="3">
        <v>0.2</v>
      </c>
    </row>
    <row r="12" spans="2:4" x14ac:dyDescent="0.3">
      <c r="B12" s="1" t="s">
        <v>157</v>
      </c>
      <c r="C12" s="3">
        <v>24</v>
      </c>
    </row>
    <row r="13" spans="2:4" x14ac:dyDescent="0.3">
      <c r="B13" s="1" t="s">
        <v>166</v>
      </c>
      <c r="C13" s="3" t="s">
        <v>167</v>
      </c>
    </row>
    <row r="14" spans="2:4" x14ac:dyDescent="0.3">
      <c r="B14" s="1" t="s">
        <v>168</v>
      </c>
      <c r="C14" s="3" t="s">
        <v>169</v>
      </c>
    </row>
    <row r="15" spans="2:4" x14ac:dyDescent="0.3">
      <c r="B15" s="1"/>
      <c r="C15" s="3"/>
    </row>
    <row r="19" spans="2:11" x14ac:dyDescent="0.3">
      <c r="B19" s="4" t="s">
        <v>158</v>
      </c>
      <c r="C19" s="5" t="str" cm="1">
        <f t="array" ref="C19">_xll.Forecast.HW(C9,C10, B11:C14)</f>
        <v>HW24</v>
      </c>
    </row>
    <row r="21" spans="2:11" x14ac:dyDescent="0.3">
      <c r="B21" s="1" t="s">
        <v>160</v>
      </c>
      <c r="C21" s="1"/>
      <c r="D21" s="1"/>
      <c r="E21" s="1"/>
      <c r="F21" s="1"/>
      <c r="G21" s="1"/>
      <c r="I21" t="str">
        <f>"plot(autoplot("&amp;C19&amp;"))"</f>
        <v>plot(autoplot(HW24))</v>
      </c>
      <c r="K21" s="8" t="str" cm="1">
        <f t="array" ref="K21">_xll.RScript.Evaluate(I21, TRUE)</f>
        <v>OK</v>
      </c>
    </row>
    <row r="22" spans="2:11" x14ac:dyDescent="0.3">
      <c r="B22" s="6" t="str" cm="1">
        <f t="array" ref="B22:G46">_xll.Model.Result(C19,,,TRUE)</f>
        <v>Index</v>
      </c>
      <c r="C22" s="6" t="str">
        <v>Point Forecast</v>
      </c>
      <c r="D22" s="6" t="str">
        <v>Lo 80</v>
      </c>
      <c r="E22" s="6" t="str">
        <v>Hi 80</v>
      </c>
      <c r="F22" s="6" t="str">
        <v>Lo 95</v>
      </c>
      <c r="G22" s="6" t="str">
        <v>Hi 95</v>
      </c>
    </row>
    <row r="23" spans="2:11" x14ac:dyDescent="0.3">
      <c r="B23" s="6" t="str">
        <v>Jan 13</v>
      </c>
      <c r="C23" s="7">
        <v>452.48888043099487</v>
      </c>
      <c r="D23" s="7">
        <v>432.65466785126898</v>
      </c>
      <c r="E23" s="7">
        <v>472.32309301072075</v>
      </c>
      <c r="F23" s="7">
        <v>422.1550699444428</v>
      </c>
      <c r="G23" s="7">
        <v>482.82269091754694</v>
      </c>
    </row>
    <row r="24" spans="2:11" x14ac:dyDescent="0.3">
      <c r="B24" s="6" t="str">
        <v>Feb 13</v>
      </c>
      <c r="C24" s="7">
        <v>427.37414127544332</v>
      </c>
      <c r="D24" s="7">
        <v>407.14665250332098</v>
      </c>
      <c r="E24" s="7">
        <v>447.60163004756566</v>
      </c>
      <c r="F24" s="7">
        <v>396.43886675591921</v>
      </c>
      <c r="G24" s="7">
        <v>458.30941579496744</v>
      </c>
    </row>
    <row r="25" spans="2:11" x14ac:dyDescent="0.3">
      <c r="B25" s="6" t="str">
        <v>Mar 13</v>
      </c>
      <c r="C25" s="7">
        <v>462.59201723513968</v>
      </c>
      <c r="D25" s="7">
        <v>441.9782814926885</v>
      </c>
      <c r="E25" s="7">
        <v>483.20575297759086</v>
      </c>
      <c r="F25" s="7">
        <v>431.06602895010235</v>
      </c>
      <c r="G25" s="7">
        <v>494.11800552017701</v>
      </c>
    </row>
    <row r="26" spans="2:11" x14ac:dyDescent="0.3">
      <c r="B26" s="6" t="str">
        <v>Apr 13</v>
      </c>
      <c r="C26" s="7">
        <v>499.48165352801942</v>
      </c>
      <c r="D26" s="7">
        <v>478.48831176449835</v>
      </c>
      <c r="E26" s="7">
        <v>520.47499529154049</v>
      </c>
      <c r="F26" s="7">
        <v>467.37510793290977</v>
      </c>
      <c r="G26" s="7">
        <v>531.58819912312913</v>
      </c>
    </row>
    <row r="27" spans="2:11" x14ac:dyDescent="0.3">
      <c r="B27" s="6" t="str">
        <v>May 13</v>
      </c>
      <c r="C27" s="7">
        <v>508.35239502239585</v>
      </c>
      <c r="D27" s="7">
        <v>486.98573394748934</v>
      </c>
      <c r="E27" s="7">
        <v>529.71905609730243</v>
      </c>
      <c r="F27" s="7">
        <v>475.67490680997696</v>
      </c>
      <c r="G27" s="7">
        <v>541.02988323481475</v>
      </c>
    </row>
    <row r="28" spans="2:11" x14ac:dyDescent="0.3">
      <c r="B28" s="6" t="str">
        <v>Jun 13</v>
      </c>
      <c r="C28" s="7">
        <v>567.75655883361435</v>
      </c>
      <c r="D28" s="7">
        <v>546.02254092224291</v>
      </c>
      <c r="E28" s="7">
        <v>589.49057674498579</v>
      </c>
      <c r="F28" s="7">
        <v>534.51724682236932</v>
      </c>
      <c r="G28" s="7">
        <v>600.99587084485938</v>
      </c>
    </row>
    <row r="29" spans="2:11" x14ac:dyDescent="0.3">
      <c r="B29" s="6" t="str">
        <v>Jul 13</v>
      </c>
      <c r="C29" s="7">
        <v>649.0067134046933</v>
      </c>
      <c r="D29" s="7">
        <v>626.91100346615337</v>
      </c>
      <c r="E29" s="7">
        <v>671.10242334323323</v>
      </c>
      <c r="F29" s="7">
        <v>615.21424117281822</v>
      </c>
      <c r="G29" s="7">
        <v>682.79918563656838</v>
      </c>
    </row>
    <row r="30" spans="2:11" x14ac:dyDescent="0.3">
      <c r="B30" s="6" t="str">
        <v>Aug 13</v>
      </c>
      <c r="C30" s="7">
        <v>633.14981003198966</v>
      </c>
      <c r="D30" s="7">
        <v>610.69779883296394</v>
      </c>
      <c r="E30" s="7">
        <v>655.60182123101538</v>
      </c>
      <c r="F30" s="7">
        <v>598.8124220456699</v>
      </c>
      <c r="G30" s="7">
        <v>667.48719801830941</v>
      </c>
    </row>
    <row r="31" spans="2:11" x14ac:dyDescent="0.3">
      <c r="B31" s="6" t="str">
        <v>Sep 13</v>
      </c>
      <c r="C31" s="7">
        <v>535.03680083199811</v>
      </c>
      <c r="D31" s="7">
        <v>512.23362618035162</v>
      </c>
      <c r="E31" s="7">
        <v>557.83997548364459</v>
      </c>
      <c r="F31" s="7">
        <v>500.16235469029237</v>
      </c>
      <c r="G31" s="7">
        <v>569.9112469737039</v>
      </c>
    </row>
    <row r="32" spans="2:11" x14ac:dyDescent="0.3">
      <c r="B32" s="6" t="str">
        <v>Oct 13</v>
      </c>
      <c r="C32" s="7">
        <v>486.06784842079958</v>
      </c>
      <c r="D32" s="7">
        <v>462.91841405044261</v>
      </c>
      <c r="E32" s="7">
        <v>509.21728279115655</v>
      </c>
      <c r="F32" s="7">
        <v>450.66384373754494</v>
      </c>
      <c r="G32" s="7">
        <v>521.47185310405428</v>
      </c>
    </row>
    <row r="33" spans="2:7" x14ac:dyDescent="0.3">
      <c r="B33" s="6" t="str">
        <v>Nov 13</v>
      </c>
      <c r="C33" s="7">
        <v>418.52761049734011</v>
      </c>
      <c r="D33" s="7">
        <v>395.03660304032547</v>
      </c>
      <c r="E33" s="7">
        <v>442.01861795435474</v>
      </c>
      <c r="F33" s="7">
        <v>382.6012148577351</v>
      </c>
      <c r="G33" s="7">
        <v>454.45400613694511</v>
      </c>
    </row>
    <row r="34" spans="2:7" x14ac:dyDescent="0.3">
      <c r="B34" s="6" t="str">
        <v>Dec 13</v>
      </c>
      <c r="C34" s="7">
        <v>462.82540549356975</v>
      </c>
      <c r="D34" s="7">
        <v>438.99730978136336</v>
      </c>
      <c r="E34" s="7">
        <v>486.65350120577614</v>
      </c>
      <c r="F34" s="7">
        <v>426.38347785544818</v>
      </c>
      <c r="G34" s="7">
        <v>499.26733313169132</v>
      </c>
    </row>
    <row r="35" spans="2:7" x14ac:dyDescent="0.3">
      <c r="B35" s="6" t="str">
        <v>Jan 14</v>
      </c>
      <c r="C35" s="7">
        <v>483.31411649592445</v>
      </c>
      <c r="D35" s="7">
        <v>452.2926488218132</v>
      </c>
      <c r="E35" s="7">
        <v>514.33558417003576</v>
      </c>
      <c r="F35" s="7">
        <v>435.87087579964083</v>
      </c>
      <c r="G35" s="7">
        <v>530.75735719220802</v>
      </c>
    </row>
    <row r="36" spans="2:7" x14ac:dyDescent="0.3">
      <c r="B36" s="6" t="str">
        <v>Feb 14</v>
      </c>
      <c r="C36" s="7">
        <v>458.19937734037291</v>
      </c>
      <c r="D36" s="7">
        <v>426.92124767760765</v>
      </c>
      <c r="E36" s="7">
        <v>489.47750700313816</v>
      </c>
      <c r="F36" s="7">
        <v>410.36360600584811</v>
      </c>
      <c r="G36" s="7">
        <v>506.0351486748977</v>
      </c>
    </row>
    <row r="37" spans="2:7" x14ac:dyDescent="0.3">
      <c r="B37" s="6" t="str">
        <v>Mar 14</v>
      </c>
      <c r="C37" s="7">
        <v>493.41725330006921</v>
      </c>
      <c r="D37" s="7">
        <v>461.88423942382593</v>
      </c>
      <c r="E37" s="7">
        <v>524.95026717631242</v>
      </c>
      <c r="F37" s="7">
        <v>445.19167019980989</v>
      </c>
      <c r="G37" s="7">
        <v>541.64283640032852</v>
      </c>
    </row>
    <row r="38" spans="2:7" x14ac:dyDescent="0.3">
      <c r="B38" s="6" t="str">
        <v>Apr 14</v>
      </c>
      <c r="C38" s="7">
        <v>530.30688959294901</v>
      </c>
      <c r="D38" s="7">
        <v>498.52072632252361</v>
      </c>
      <c r="E38" s="7">
        <v>562.0930528633744</v>
      </c>
      <c r="F38" s="7">
        <v>481.69414790411253</v>
      </c>
      <c r="G38" s="7">
        <v>578.91963128178543</v>
      </c>
    </row>
    <row r="39" spans="2:7" x14ac:dyDescent="0.3">
      <c r="B39" s="6" t="str">
        <v>May 14</v>
      </c>
      <c r="C39" s="7">
        <v>539.17763108732538</v>
      </c>
      <c r="D39" s="7">
        <v>507.14001193034767</v>
      </c>
      <c r="E39" s="7">
        <v>571.21525024430309</v>
      </c>
      <c r="F39" s="7">
        <v>490.18032080632793</v>
      </c>
      <c r="G39" s="7">
        <v>588.17494136832283</v>
      </c>
    </row>
    <row r="40" spans="2:7" x14ac:dyDescent="0.3">
      <c r="B40" s="6" t="str">
        <v>Jun 14</v>
      </c>
      <c r="C40" s="7">
        <v>598.58179489854388</v>
      </c>
      <c r="D40" s="7">
        <v>566.29437360879092</v>
      </c>
      <c r="E40" s="7">
        <v>630.86921618829683</v>
      </c>
      <c r="F40" s="7">
        <v>549.2024452235305</v>
      </c>
      <c r="G40" s="7">
        <v>647.96114457355725</v>
      </c>
    </row>
    <row r="41" spans="2:7" x14ac:dyDescent="0.3">
      <c r="B41" s="6" t="str">
        <v>Jul 14</v>
      </c>
      <c r="C41" s="7">
        <v>679.83194946962283</v>
      </c>
      <c r="D41" s="7">
        <v>647.29634152417475</v>
      </c>
      <c r="E41" s="7">
        <v>712.36755741507091</v>
      </c>
      <c r="F41" s="7">
        <v>630.07303105958226</v>
      </c>
      <c r="G41" s="7">
        <v>729.59086787966339</v>
      </c>
    </row>
    <row r="42" spans="2:7" x14ac:dyDescent="0.3">
      <c r="B42" s="6" t="str">
        <v>Aug 14</v>
      </c>
      <c r="C42" s="7">
        <v>663.97504609691919</v>
      </c>
      <c r="D42" s="7">
        <v>631.19283009794037</v>
      </c>
      <c r="E42" s="7">
        <v>696.757262095898</v>
      </c>
      <c r="F42" s="7">
        <v>613.83897321552308</v>
      </c>
      <c r="G42" s="7">
        <v>714.11111897831529</v>
      </c>
    </row>
    <row r="43" spans="2:7" x14ac:dyDescent="0.3">
      <c r="B43" s="6" t="str">
        <v>Sep 14</v>
      </c>
      <c r="C43" s="7">
        <v>565.86203689692763</v>
      </c>
      <c r="D43" s="7">
        <v>532.83475590294006</v>
      </c>
      <c r="E43" s="7">
        <v>598.88931789091521</v>
      </c>
      <c r="F43" s="7">
        <v>515.35116944853769</v>
      </c>
      <c r="G43" s="7">
        <v>616.37290434531758</v>
      </c>
    </row>
    <row r="44" spans="2:7" x14ac:dyDescent="0.3">
      <c r="B44" s="6" t="str">
        <v>Oct 14</v>
      </c>
      <c r="C44" s="7">
        <v>516.8930844857291</v>
      </c>
      <c r="D44" s="7">
        <v>483.62224727686618</v>
      </c>
      <c r="E44" s="7">
        <v>550.16392169459198</v>
      </c>
      <c r="F44" s="7">
        <v>466.00972995043554</v>
      </c>
      <c r="G44" s="7">
        <v>567.77643902102272</v>
      </c>
    </row>
    <row r="45" spans="2:7" x14ac:dyDescent="0.3">
      <c r="B45" s="6" t="str">
        <v>Nov 14</v>
      </c>
      <c r="C45" s="7">
        <v>449.35284656226963</v>
      </c>
      <c r="D45" s="7">
        <v>415.83992884365466</v>
      </c>
      <c r="E45" s="7">
        <v>482.8657642808846</v>
      </c>
      <c r="F45" s="7">
        <v>398.09926183629977</v>
      </c>
      <c r="G45" s="7">
        <v>500.60643128823949</v>
      </c>
    </row>
    <row r="46" spans="2:7" x14ac:dyDescent="0.3">
      <c r="B46" s="6" t="str">
        <v>Dec 14</v>
      </c>
      <c r="C46" s="7">
        <v>493.65064155849939</v>
      </c>
      <c r="D46" s="7">
        <v>459.89708710557943</v>
      </c>
      <c r="E46" s="7">
        <v>527.40419601141934</v>
      </c>
      <c r="F46" s="7">
        <v>442.02903470585466</v>
      </c>
      <c r="G46" s="7">
        <v>545.27224841114412</v>
      </c>
    </row>
  </sheetData>
  <mergeCells count="1">
    <mergeCell ref="B8: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4FB3-0DD7-4E70-8C5D-030F7F7A21F0}">
  <sheetPr>
    <tabColor theme="6" tint="0.79998168889431442"/>
  </sheetPr>
  <dimension ref="B2:J10"/>
  <sheetViews>
    <sheetView workbookViewId="0"/>
  </sheetViews>
  <sheetFormatPr defaultRowHeight="14.4" x14ac:dyDescent="0.3"/>
  <sheetData>
    <row r="2" spans="2:10" x14ac:dyDescent="0.3">
      <c r="B2" s="1" t="s">
        <v>173</v>
      </c>
      <c r="C2" s="1"/>
      <c r="D2" s="1"/>
      <c r="E2" s="1"/>
      <c r="F2" s="1"/>
      <c r="G2" s="1"/>
      <c r="H2" s="1"/>
      <c r="I2" s="1"/>
      <c r="J2" s="1"/>
    </row>
    <row r="3" spans="2:10" x14ac:dyDescent="0.3">
      <c r="B3" t="str">
        <f>SES!C10</f>
        <v>SES24</v>
      </c>
      <c r="C3" t="str" cm="1">
        <f t="array" ref="C3:J4">_xll.Model.Accuracy(B3)</f>
        <v>Index</v>
      </c>
      <c r="D3" t="str">
        <v>ME</v>
      </c>
      <c r="E3" s="10" t="str">
        <v>RMSE</v>
      </c>
      <c r="F3" s="10" t="str">
        <v>MAE</v>
      </c>
      <c r="G3" t="str">
        <v>MPE</v>
      </c>
      <c r="H3" s="10" t="str">
        <v>MAPE</v>
      </c>
      <c r="I3" t="str">
        <v>MASE</v>
      </c>
      <c r="J3" t="str">
        <v>ACF1</v>
      </c>
    </row>
    <row r="4" spans="2:10" x14ac:dyDescent="0.3">
      <c r="C4" t="str">
        <v>Training set</v>
      </c>
      <c r="D4">
        <v>22.754402972103257</v>
      </c>
      <c r="E4" s="10">
        <v>52.134699647369288</v>
      </c>
      <c r="F4" s="10">
        <v>36.715812521778588</v>
      </c>
      <c r="G4">
        <v>6.1971428744681134</v>
      </c>
      <c r="H4" s="10">
        <v>12.108532903495451</v>
      </c>
      <c r="I4">
        <v>1.4197839888086368</v>
      </c>
      <c r="J4">
        <v>0.71439592175174416</v>
      </c>
    </row>
    <row r="6" spans="2:10" x14ac:dyDescent="0.3">
      <c r="B6" t="str">
        <f>Holt!C19</f>
        <v>HOLT24</v>
      </c>
      <c r="C6" t="str" cm="1">
        <f t="array" ref="C6:J7">_xll.Model.Accuracy(B6)</f>
        <v>Index</v>
      </c>
      <c r="D6" t="str">
        <v>ME</v>
      </c>
      <c r="E6" s="10" t="str">
        <v>RMSE</v>
      </c>
      <c r="F6" s="10" t="str">
        <v>MAE</v>
      </c>
      <c r="G6" t="str">
        <v>MPE</v>
      </c>
      <c r="H6" s="10" t="str">
        <v>MAPE</v>
      </c>
      <c r="I6" t="str">
        <v>MASE</v>
      </c>
      <c r="J6" t="str">
        <v>ACF1</v>
      </c>
    </row>
    <row r="7" spans="2:10" x14ac:dyDescent="0.3">
      <c r="C7" t="str">
        <v>Training set</v>
      </c>
      <c r="D7">
        <v>1.6456168989261637</v>
      </c>
      <c r="E7" s="10">
        <v>33.592060176038679</v>
      </c>
      <c r="F7" s="10">
        <v>25.744479596402833</v>
      </c>
      <c r="G7">
        <v>1.2071614662984287E-2</v>
      </c>
      <c r="H7" s="10">
        <v>9.0279373308108788</v>
      </c>
      <c r="I7">
        <v>0.99552746952017446</v>
      </c>
      <c r="J7">
        <v>0.30261485064057797</v>
      </c>
    </row>
    <row r="9" spans="2:10" x14ac:dyDescent="0.3">
      <c r="B9" t="str">
        <f>'Holt Winters'!C19</f>
        <v>HW24</v>
      </c>
      <c r="C9" t="str" cm="1">
        <f t="array" ref="C9:J10">_xll.Model.Accuracy(B9)</f>
        <v>Index</v>
      </c>
      <c r="D9" t="str">
        <v>ME</v>
      </c>
      <c r="E9" s="10" t="str">
        <v>RMSE</v>
      </c>
      <c r="F9" s="10" t="str">
        <v>MAE</v>
      </c>
      <c r="G9" t="str">
        <v>MPE</v>
      </c>
      <c r="H9" s="10" t="str">
        <v>MAPE</v>
      </c>
      <c r="I9" t="str">
        <v>MASE</v>
      </c>
      <c r="J9" t="str">
        <v>ACF1</v>
      </c>
    </row>
    <row r="10" spans="2:10" x14ac:dyDescent="0.3">
      <c r="C10" t="str">
        <v>Training set</v>
      </c>
      <c r="D10">
        <v>2.2089694018220231E-2</v>
      </c>
      <c r="E10" s="10">
        <v>14.591589956725368</v>
      </c>
      <c r="F10" s="10">
        <v>11.259436696916444</v>
      </c>
      <c r="G10">
        <v>-0.64125359173739016</v>
      </c>
      <c r="H10" s="10">
        <v>4.8293608169595412</v>
      </c>
      <c r="I10">
        <v>0.35152451371640736</v>
      </c>
      <c r="J10">
        <v>0.53365022321485744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References</vt:lpstr>
      <vt:lpstr>Libraries</vt:lpstr>
      <vt:lpstr>Datasets</vt:lpstr>
      <vt:lpstr>SES</vt:lpstr>
      <vt:lpstr>Holt</vt:lpstr>
      <vt:lpstr>Holt Winters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2025-07-21T09:31:22Z</dcterms:created>
  <dcterms:modified xsi:type="dcterms:W3CDTF">2026-09-25T12:05:23Z</dcterms:modified>
</cp:coreProperties>
</file>