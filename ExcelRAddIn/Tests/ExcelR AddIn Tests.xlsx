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11E8A4F8-258F-416F-8BB7-AD418979E29E}" xr6:coauthVersionLast="47" xr6:coauthVersionMax="47" xr10:uidLastSave="{00000000-0000-0000-0000-000000000000}"/>
  <bookViews>
    <workbookView xWindow="-108" yWindow="-108" windowWidth="23256" windowHeight="12456" tabRatio="895" xr2:uid="{7365BEBE-FBD4-46AE-9140-8CC4AD652751}"/>
  </bookViews>
  <sheets>
    <sheet name="Doc Info" sheetId="1" r:id="rId1"/>
    <sheet name="0. Datasets" sheetId="16" r:id="rId2"/>
    <sheet name="1. Introduction" sheetId="2" r:id="rId3"/>
    <sheet name="2. Numbers &amp; Vectors" sheetId="3" r:id="rId4"/>
    <sheet name="3. Objects" sheetId="4" r:id="rId5"/>
    <sheet name="4. Factors" sheetId="5" r:id="rId6"/>
    <sheet name="5. Arrays &amp; Matrices" sheetId="6" r:id="rId7"/>
    <sheet name="6. Lists &amp; Data Frames" sheetId="7" r:id="rId8"/>
    <sheet name="7. File Data" sheetId="8" r:id="rId9"/>
    <sheet name="8. Probability Distributions" sheetId="9" r:id="rId10"/>
    <sheet name="9. Control Statements" sheetId="10" r:id="rId11"/>
    <sheet name="10. Functions" sheetId="11" r:id="rId12"/>
    <sheet name="11. Statistical Models" sheetId="12" r:id="rId13"/>
    <sheet name="12. Graphics" sheetId="13" r:id="rId14"/>
    <sheet name="13. Packages" sheetId="14" r:id="rId15"/>
    <sheet name="14. OS Facilities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5" l="1" a="1"/>
  <c r="D6" i="15" a="1"/>
  <c r="F4" i="15" a="1"/>
  <c r="F2" i="15" a="1"/>
  <c r="D2" i="15" a="1"/>
  <c r="D8" i="11" a="1"/>
  <c r="D7" i="11" a="1"/>
  <c r="D5" i="11" a="1"/>
  <c r="D4" i="11" a="1"/>
  <c r="D2" i="11" a="1"/>
  <c r="D2" i="10" a="1"/>
  <c r="E11" i="10" a="1"/>
  <c r="D9" i="10" a="1"/>
  <c r="D8" i="10" a="1"/>
  <c r="D7" i="10" a="1"/>
  <c r="D6" i="10" a="1"/>
  <c r="M26" i="9" a="1"/>
  <c r="J24" i="9" a="1"/>
  <c r="D24" i="9" a="1"/>
  <c r="D53" i="7" a="1"/>
  <c r="C53" i="7" a="1"/>
  <c r="D50" i="7" a="1"/>
  <c r="E16" i="7" a="1"/>
  <c r="E17" i="7" s="1" a="1"/>
  <c r="E7" i="7" a="1"/>
  <c r="E8" i="7" a="1"/>
  <c r="E6" i="7" a="1"/>
  <c r="E5" i="7" a="1"/>
  <c r="E4" i="7" a="1"/>
  <c r="E2" i="7" a="1"/>
  <c r="D2" i="7" a="1"/>
  <c r="O17" i="7" a="1"/>
  <c r="N17" i="7" a="1"/>
  <c r="M17" i="7" a="1"/>
  <c r="L17" i="7" a="1"/>
  <c r="K17" i="7" a="1"/>
  <c r="J17" i="7" a="1"/>
  <c r="I17" i="7" a="1"/>
  <c r="H17" i="7" a="1"/>
  <c r="G17" i="7" a="1"/>
  <c r="F17" i="7" a="1"/>
  <c r="K2" i="7" a="1"/>
  <c r="E95" i="6" a="1"/>
  <c r="D77" i="6" a="1"/>
  <c r="D76" i="6" a="1"/>
  <c r="D75" i="6" a="1"/>
  <c r="E64" i="6" a="1"/>
  <c r="D64" i="6" a="1"/>
  <c r="D63" i="6" a="1"/>
  <c r="E52" i="6" a="1"/>
  <c r="D52" i="6" a="1"/>
  <c r="E41" i="6" a="1"/>
  <c r="D41" i="6" a="1"/>
  <c r="D40" i="6" a="1"/>
  <c r="D39" i="6" a="1"/>
  <c r="D34" i="6" a="1"/>
  <c r="D31" i="6" a="1"/>
  <c r="D25" i="6" a="1"/>
  <c r="E20" i="6" a="1"/>
  <c r="D20" i="6" a="1"/>
  <c r="D16" i="6" a="1"/>
  <c r="D12" i="6" a="1"/>
  <c r="D6" i="6" a="1"/>
  <c r="D4" i="6" a="1"/>
  <c r="D3" i="6" a="1"/>
  <c r="D2" i="6" a="1"/>
  <c r="F14" i="5" a="1"/>
  <c r="D14" i="5" a="1"/>
  <c r="D12" i="5" a="1"/>
  <c r="D10" i="5" a="1"/>
  <c r="D8" i="5" a="1"/>
  <c r="D6" i="5" a="1"/>
  <c r="F3" i="5" a="1"/>
  <c r="D3" i="5" a="1"/>
  <c r="D2" i="5" a="1"/>
  <c r="D6" i="4" a="1"/>
  <c r="D4" i="4" a="1"/>
  <c r="D3" i="4" a="1"/>
  <c r="D2" i="4" a="1"/>
  <c r="E2" i="4" s="1" a="1"/>
  <c r="H35" i="3" a="1"/>
  <c r="D36" i="3" a="1"/>
  <c r="E36" i="3" s="1" a="1"/>
  <c r="D35" i="3" a="1"/>
  <c r="D34" i="3" a="1"/>
  <c r="E32" i="3" a="1"/>
  <c r="D30" i="3" a="1"/>
  <c r="D29" i="3" a="1"/>
  <c r="D28" i="3" a="1"/>
  <c r="D26" i="3" a="1"/>
  <c r="D24" i="3" a="1"/>
  <c r="D23" i="3" a="1"/>
  <c r="D20" i="3" a="1"/>
  <c r="E18" i="3" a="1"/>
  <c r="E16" i="3" a="1"/>
  <c r="E15" i="3" a="1"/>
  <c r="D9" i="3" a="1"/>
  <c r="E2" i="3" a="1"/>
  <c r="D3" i="3" a="1"/>
  <c r="D2" i="3" a="1"/>
  <c r="D12" i="2" a="1"/>
  <c r="D6" i="2" a="1"/>
  <c r="D5" i="2" a="1"/>
  <c r="D8" i="2" a="1"/>
  <c r="E5" i="2" a="1"/>
  <c r="D2" i="2" a="1"/>
  <c r="D3" i="16" a="1"/>
  <c r="D2" i="16" a="1"/>
  <c r="J3" i="16"/>
  <c r="H24" i="9"/>
  <c r="L24" i="9" s="1"/>
  <c r="E2" i="15" a="1"/>
  <c r="D300" i="9" a="1"/>
  <c r="G353" i="9" a="1"/>
  <c r="G352" i="9" a="1"/>
  <c r="G351" i="9" a="1"/>
  <c r="G350" i="9" a="1"/>
  <c r="G349" i="9" a="1"/>
  <c r="G348" i="9" a="1"/>
  <c r="G347" i="9" a="1"/>
  <c r="G346" i="9" a="1"/>
  <c r="G345" i="9" a="1"/>
  <c r="D345" i="9" a="1"/>
  <c r="G343" i="9" a="1"/>
  <c r="G342" i="9" a="1"/>
  <c r="G341" i="9" a="1"/>
  <c r="G340" i="9" a="1"/>
  <c r="G339" i="9" a="1"/>
  <c r="G338" i="9" a="1"/>
  <c r="G337" i="9" a="1"/>
  <c r="G336" i="9" a="1"/>
  <c r="G335" i="9" a="1"/>
  <c r="G334" i="9" a="1"/>
  <c r="F334" i="9" a="1"/>
  <c r="D334" i="9" a="1"/>
  <c r="D323" i="9" a="1"/>
  <c r="D322" i="9" a="1"/>
  <c r="D321" i="9" a="1"/>
  <c r="D299" i="9" a="1"/>
  <c r="D298" i="9" a="1"/>
  <c r="D120" i="6" a="1"/>
  <c r="H116" i="6" a="1"/>
  <c r="H115" i="6" a="1"/>
  <c r="G115" i="6" a="1"/>
  <c r="E115" i="6" a="1"/>
  <c r="D115" i="6" a="1"/>
  <c r="D112" i="6" a="1"/>
  <c r="D109" i="6" a="1"/>
  <c r="E106" i="6" a="1"/>
  <c r="D106" i="6" a="1"/>
  <c r="E28" i="6" a="1"/>
  <c r="E15" i="10" a="1"/>
  <c r="E14" i="10" a="1"/>
  <c r="E12" i="10" a="1"/>
  <c r="E13" i="10" a="1"/>
  <c r="E17" i="10" a="1"/>
  <c r="E20" i="10" a="1"/>
  <c r="E16" i="10" a="1"/>
  <c r="E18" i="10" a="1"/>
  <c r="E19" i="10" a="1"/>
  <c r="D11" i="10" a="1"/>
  <c r="F10" i="5" a="1"/>
  <c r="E24" i="3" a="1"/>
  <c r="E22" i="3" a="1"/>
  <c r="D16" i="2" a="1"/>
  <c r="E6" i="2" a="1"/>
  <c r="E112" i="6" a="1"/>
  <c r="E109" i="6" a="1"/>
  <c r="E31" i="6" a="1"/>
  <c r="E29" i="3" a="1"/>
  <c r="E28" i="3" a="1"/>
  <c r="J28" i="3" s="1"/>
  <c r="E25" i="6" a="1"/>
  <c r="E4" i="4" a="1"/>
  <c r="E3" i="4" a="1"/>
  <c r="E20" i="3" a="1"/>
  <c r="E26" i="3" a="1"/>
  <c r="E23" i="3" a="1"/>
  <c r="E334" i="9"/>
  <c r="E345" i="9"/>
  <c r="F345" i="9" a="1"/>
  <c r="I3" i="15" l="1" a="1"/>
  <c r="D10" i="7"/>
  <c r="E10" i="7" s="1" a="1"/>
  <c r="D13" i="7"/>
  <c r="E13" i="7" s="1" a="1"/>
  <c r="D12" i="7"/>
  <c r="E12" i="7" s="1" a="1"/>
  <c r="D11" i="7"/>
  <c r="E11" i="7" s="1" a="1"/>
  <c r="E53" i="7" a="1"/>
  <c r="E55" i="7" a="1"/>
  <c r="E54" i="7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<sst xmlns="http://schemas.openxmlformats.org/spreadsheetml/2006/main" count="173" uniqueCount="166">
  <si>
    <t>Purpose</t>
  </si>
  <si>
    <t>Reference</t>
  </si>
  <si>
    <t>An Introduction to R: Notes on R: A Programming Environment for Data Analysis and Graphic</t>
  </si>
  <si>
    <t>Location</t>
  </si>
  <si>
    <t>D:\Development\Projects\C#\Office\ExcelRAddIn\ExcelRAddIn\Data\R-intro.pdf</t>
  </si>
  <si>
    <t>Date</t>
  </si>
  <si>
    <t>Key</t>
  </si>
  <si>
    <t>Comment</t>
  </si>
  <si>
    <t>help("solve")</t>
  </si>
  <si>
    <t>objects()</t>
  </si>
  <si>
    <t>ls()</t>
  </si>
  <si>
    <t>x_1 &lt;- 10</t>
  </si>
  <si>
    <t>y_1 = 2 * x_1</t>
  </si>
  <si>
    <t>rm(x_1, y_1)</t>
  </si>
  <si>
    <t>x_2 &lt;- c(10.4, 5.6, 3.1, 6.4, 21.7)</t>
  </si>
  <si>
    <t>assign("y_2", c(10.4, 5.6, 3.1, 6.4, 21.7))</t>
  </si>
  <si>
    <t>c(10.4, 5.6, 3.1, 6.4, 21.7) -&gt; z_2</t>
  </si>
  <si>
    <t>y_2</t>
  </si>
  <si>
    <t>z_2</t>
  </si>
  <si>
    <t>1/x_2</t>
  </si>
  <si>
    <t>v_2 &lt;- 2*x_2 + y_2 + 1</t>
  </si>
  <si>
    <t>1:10</t>
  </si>
  <si>
    <t>seq_22 &lt;- seq(length=51, from=-5, by=.2)</t>
  </si>
  <si>
    <t>seq(-5, 5, by=.2) -&gt; seq_21</t>
  </si>
  <si>
    <t>seq_23 &lt;- rep(x_2[3], times=5)</t>
  </si>
  <si>
    <t>z_21 &lt;- c(1:3,NA)</t>
  </si>
  <si>
    <t>ind &lt;- is.na(z_21)</t>
  </si>
  <si>
    <t>0/0</t>
  </si>
  <si>
    <t>x_2[3:5]</t>
  </si>
  <si>
    <t>fruit &lt;- c(5, 10, 1, 20)</t>
  </si>
  <si>
    <t>names(fruit) &lt;- c("orange", "banana", "apple", "peach")</t>
  </si>
  <si>
    <t>lunch &lt;- fruit[c("apple","orange")]</t>
  </si>
  <si>
    <t>z_3 &lt;- 0:9</t>
  </si>
  <si>
    <t>digits &lt;- as.character(z_3)</t>
  </si>
  <si>
    <t>d_3 &lt;- as.integer(digits)</t>
  </si>
  <si>
    <t>attributes(digits)</t>
  </si>
  <si>
    <t>state_4 &lt;- c("tas", "sa", "qld", "nsw", "nsw", "nt", "wa", "wa", "qld", "vic", "nsw", "vic", "qld", "qld", "sa", "tas", "sa", "nt", "wa", "vic", "qld", "nsw", "nsw", "wa", "sa", "act", "nsw", "vic", "vic", "act")</t>
  </si>
  <si>
    <t>statef_4 &lt;- factor(state_4)</t>
  </si>
  <si>
    <t>levels(statef_4)</t>
  </si>
  <si>
    <t>incomes_4 &lt;- c(60, 49, 40, 61, 64, 60, 59, 54, 62, 69, 70, 42, 56, 61, 61, 61, 58, 51, 48, 65, 49, 49, 41, 48, 52, 46, 59, 46, 58, 43)</t>
  </si>
  <si>
    <t>incmeans_4 &lt;- tapply(incomes_4, statef_4, mean)</t>
  </si>
  <si>
    <t>stderr &lt;- function(x) sqrt(var(x)/length(x))</t>
  </si>
  <si>
    <t>incster &lt;- tapply(incomes_4, statef_4, stderr)</t>
  </si>
  <si>
    <t>dim(z_5) &lt;- c(3,5,100)</t>
  </si>
  <si>
    <t>z_5 = 1:1500</t>
  </si>
  <si>
    <t>z_5[2,3,4]</t>
  </si>
  <si>
    <t>z_5[,1,]</t>
  </si>
  <si>
    <t>z_5[1,,]</t>
  </si>
  <si>
    <t>z_5[,,1]</t>
  </si>
  <si>
    <t>x_5 &lt;- array(1:20, dim=c(4,5))</t>
  </si>
  <si>
    <t>i_5 &lt;- array(c(1:3,3:1), dim=c(3,2))</t>
  </si>
  <si>
    <t>x_5[i_5]</t>
  </si>
  <si>
    <t>x_5[i_5] &lt;- 0</t>
  </si>
  <si>
    <t>x_5</t>
  </si>
  <si>
    <t>x_51 &lt;- 0:9</t>
  </si>
  <si>
    <t>y_51 &lt;- 0:9</t>
  </si>
  <si>
    <t>xy_51 &lt;- x_51 %o% y_51</t>
  </si>
  <si>
    <t>xy_52 &lt;- outer(x_51, y_51, "*")</t>
  </si>
  <si>
    <t>f_5 &lt;- function(x, y) cos(y)/(1 + x^2)</t>
  </si>
  <si>
    <t>z_53 &lt;- outer(x_51, y_51, f_5)</t>
  </si>
  <si>
    <t>d_5 &lt;- outer(0:9, 0:9)</t>
  </si>
  <si>
    <t>fr_5 &lt;- table(outer(d_5, d_5, "-"))</t>
  </si>
  <si>
    <t>plot(as.numeric(names(fr_5)), fr_5, type="h", xlab="Determinant", ylab="Frequency")</t>
  </si>
  <si>
    <t>t(z_53)</t>
  </si>
  <si>
    <t>A_5 &lt;- matrix(c(3,1,4,1),nrow=2,ncol=2)</t>
  </si>
  <si>
    <t>b_5 &lt;- matrix(c(10,4),nrow=2,ncol=1)</t>
  </si>
  <si>
    <t>res_5 &lt;- solve(A_5, b_5)</t>
  </si>
  <si>
    <t>ev_5 &lt;- eigen(A_5)</t>
  </si>
  <si>
    <t>statefr_5 &lt;- table(statef_4)</t>
  </si>
  <si>
    <t>list_61 &lt;- list(name="Fred", wife="Mary", no.children=3, child.ages=c(4,7,9))</t>
  </si>
  <si>
    <t>list_61[[1]]</t>
  </si>
  <si>
    <t>list_61[[2]]</t>
  </si>
  <si>
    <t>list_61[[3]]</t>
  </si>
  <si>
    <t>list_61[[4]]</t>
  </si>
  <si>
    <t>list_61[[4]][2]</t>
  </si>
  <si>
    <t>attach(datasets::mtcars)</t>
  </si>
  <si>
    <t>search()</t>
  </si>
  <si>
    <t>Distribution</t>
  </si>
  <si>
    <t>beta</t>
  </si>
  <si>
    <t>shape1,shape2,ncp</t>
  </si>
  <si>
    <t>binomial</t>
  </si>
  <si>
    <t>binom</t>
  </si>
  <si>
    <t>size,prob</t>
  </si>
  <si>
    <t>Cauchy</t>
  </si>
  <si>
    <t>cauchy</t>
  </si>
  <si>
    <t>location,scale</t>
  </si>
  <si>
    <t>chi-squared</t>
  </si>
  <si>
    <t>chisq</t>
  </si>
  <si>
    <t>df,ncp</t>
  </si>
  <si>
    <t>exponential</t>
  </si>
  <si>
    <t>exp</t>
  </si>
  <si>
    <t>rate</t>
  </si>
  <si>
    <t>F</t>
  </si>
  <si>
    <t>f</t>
  </si>
  <si>
    <t>df1,df2,ncp</t>
  </si>
  <si>
    <t>gamma</t>
  </si>
  <si>
    <t>shape,scale</t>
  </si>
  <si>
    <t>geometric</t>
  </si>
  <si>
    <t>geom</t>
  </si>
  <si>
    <t>prob</t>
  </si>
  <si>
    <t>hypergeometric</t>
  </si>
  <si>
    <t>hyper</t>
  </si>
  <si>
    <t>m,n,k</t>
  </si>
  <si>
    <t>log-normal</t>
  </si>
  <si>
    <t>lnorm</t>
  </si>
  <si>
    <t>meanlog,sdlog</t>
  </si>
  <si>
    <t>logistic</t>
  </si>
  <si>
    <t>logis</t>
  </si>
  <si>
    <t>negativebinomial</t>
  </si>
  <si>
    <t>nbinom</t>
  </si>
  <si>
    <t>normal</t>
  </si>
  <si>
    <t>norm</t>
  </si>
  <si>
    <t>mean,sd</t>
  </si>
  <si>
    <t>Poisson</t>
  </si>
  <si>
    <t>pois</t>
  </si>
  <si>
    <t>lambda</t>
  </si>
  <si>
    <t>signed_rank</t>
  </si>
  <si>
    <t>signrank</t>
  </si>
  <si>
    <t>n</t>
  </si>
  <si>
    <t>Student’st</t>
  </si>
  <si>
    <t>t</t>
  </si>
  <si>
    <t>uniform</t>
  </si>
  <si>
    <t>unif</t>
  </si>
  <si>
    <t>min,max</t>
  </si>
  <si>
    <t>Weibull</t>
  </si>
  <si>
    <t>weibull</t>
  </si>
  <si>
    <t>Wilcoxon</t>
  </si>
  <si>
    <t>wilcox</t>
  </si>
  <si>
    <t>m,n</t>
  </si>
  <si>
    <t>Additional Arguments</t>
  </si>
  <si>
    <t>R name</t>
  </si>
  <si>
    <t>datasets::faithful</t>
  </si>
  <si>
    <t xml:space="preserve">Min. </t>
  </si>
  <si>
    <t>1st Qu.</t>
  </si>
  <si>
    <t>Median</t>
  </si>
  <si>
    <t>Mean</t>
  </si>
  <si>
    <t>3rd Qu.</t>
  </si>
  <si>
    <t>Max.</t>
  </si>
  <si>
    <t>hist(eruptions, seq(1.6, 5.2, 0.2), prob=TRUE)</t>
  </si>
  <si>
    <t>lines(density(eruptions, bw=0.1))</t>
  </si>
  <si>
    <t>rug(eruptions)</t>
  </si>
  <si>
    <t>attach(datasets::faithful)</t>
  </si>
  <si>
    <t>=RScript.Evaluate(B301)</t>
  </si>
  <si>
    <t>A_8 &lt;- c(79.98, 80.04, 80.02, 80.04, 80.03, 80.03, 80.04, 79.97, 80.05, 80.03, 80.02, 80.00, 80.02)</t>
  </si>
  <si>
    <t>B_8 &lt;- c(80.02, 79.94, 79.98, 79.97, 79.97, 80.03, 79.95, 79.97)</t>
  </si>
  <si>
    <t>boxplot(A_8, B_8)</t>
  </si>
  <si>
    <t>tt_8 = t.test(A_8, B_8)</t>
  </si>
  <si>
    <t>vt_8 &lt;- var.test(A_8, B_8)</t>
  </si>
  <si>
    <t xml:space="preserve"> twosam &lt;- function(y1, y2) {
n1 &lt;- length(y1); n2 &lt;- length(y2)
yb1 &lt;- mean(y1); yb2 &lt;- mean(y2)
s1 &lt;- var(y1); s2 &lt;- var(y2)
s &lt;- ((n1-1)*s1 + (n2-1)*s2)/(n1+n2-2)
tst &lt;- (yb1 - yb2)/sqrt(s*(1/n1 + 1/n2))
tst
}</t>
  </si>
  <si>
    <t>tstat</t>
  </si>
  <si>
    <t>A_10 &lt;- c(79.98, 80.04, 80.02, 80.04, 80.03, 80.03, 80.04, 79.97, 80.05, 80.03, 80.02, 80.00, 80.02);</t>
  </si>
  <si>
    <t>B_10 &lt;- c(80.02, 79.94, 79.98, 79.97, 79.97, 80.03, 79.95, 79.97);</t>
  </si>
  <si>
    <t>tstat &lt;- twosam(A_10, B_10)</t>
  </si>
  <si>
    <t>libs = library()</t>
  </si>
  <si>
    <t>loadedNamespaces()</t>
  </si>
  <si>
    <t>ds = data()</t>
  </si>
  <si>
    <t>ds$results</t>
  </si>
  <si>
    <t>e_6 = attach(datasets::morley)</t>
  </si>
  <si>
    <t># Reconstruct mtcars from list of names</t>
  </si>
  <si>
    <t>A_9 &lt;- c(79.98, 80.04, 80.02, 80.04, 80.03, 80.03, 80.04, 79.97, 80.05, 80.03, 80.02, 80.00, 80.02)</t>
  </si>
  <si>
    <t>B_9 &lt;- c(80.02, 79.94, 79.98, 79.97, 79.97, 80.03, 79.95, 79.97)</t>
  </si>
  <si>
    <t>tt_9 = t.test(A_9, B_9)</t>
  </si>
  <si>
    <t>tt_9$statistic</t>
  </si>
  <si>
    <t>tt_9</t>
  </si>
  <si>
    <t>Coverage tests for ExcelRAddIn version 2.0.0.0</t>
  </si>
  <si>
    <t>{
A_9 &lt;- c(79.98, 80.04, 80.02, 80.04, 80.03, 80.03, 80.04, 79.97, 80.05, 80.03, 80.02, 80.00, 80.02);
B_9 &lt;- c(80.02, 79.94, 79.98, 79.97, 79.97, 80.03, 79.95, 79.97);
tt_9 = t.test(A_9, B_9);
tt_9$statistic;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</si>
</sst>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quotePrefix="1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76</xdr:row>
      <xdr:rowOff>7620</xdr:rowOff>
    </xdr:from>
    <xdr:to>
      <xdr:col>10</xdr:col>
      <xdr:colOff>548640</xdr:colOff>
      <xdr:row>92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F8198-1C30-670A-B519-58A409060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13906500"/>
          <a:ext cx="2987040" cy="298704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251460</xdr:colOff>
      <xdr:row>301</xdr:row>
      <xdr:rowOff>53340</xdr:rowOff>
    </xdr:from>
    <xdr:to>
      <xdr:col>10</xdr:col>
      <xdr:colOff>289560</xdr:colOff>
      <xdr:row>319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360D7-EE48-3491-7F47-476D0D49C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55100220"/>
          <a:ext cx="3238500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99060</xdr:colOff>
      <xdr:row>321</xdr:row>
      <xdr:rowOff>0</xdr:rowOff>
    </xdr:from>
    <xdr:to>
      <xdr:col>6</xdr:col>
      <xdr:colOff>342900</xdr:colOff>
      <xdr:row>331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2B77E5-5839-E6C4-D162-6B2B2A278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" y="58704480"/>
          <a:ext cx="1828800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CE32D-CB66-4B90-9F67-C71BBD9B181D}" name="TableDocInfo" displayName="TableDocInfo" ref="B2:C6" totalsRowShown="0">
  <autoFilter ref="B2:C6" xr:uid="{8ACCE32D-CB66-4B90-9F67-C71BBD9B181D}"/>
  <tableColumns count="2">
    <tableColumn id="1" xr3:uid="{BE24629E-A940-4365-A2CE-23913C8F811B}" name="Key"/>
    <tableColumn id="2" xr3:uid="{8C91BEF6-CD2D-4B08-8009-F7AAA45E2677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BC418-C975-4A07-A33F-74866E1EF71C}" name="Table2" displayName="Table2" ref="B2:D21" totalsRowShown="0">
  <autoFilter ref="B2:D21" xr:uid="{0ABBC418-C975-4A07-A33F-74866E1EF71C}"/>
  <tableColumns count="3">
    <tableColumn id="1" xr3:uid="{3FD99138-11C8-4498-9F08-78C26E0E0EF4}" name="Distribution"/>
    <tableColumn id="2" xr3:uid="{DE47404E-092B-403E-8C35-63D877707D45}" name="R name"/>
    <tableColumn id="3" xr3:uid="{AA00CDFA-9C13-438B-BB90-31211CEC1AB4}" name="Additional Argu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1FD5-7397-4214-ACA1-AE1113282210}">
  <dimension ref="B2:C6"/>
  <sheetViews>
    <sheetView tabSelected="1" workbookViewId="0">
      <selection activeCell="B3" sqref="B3"/>
    </sheetView>
  </sheetViews>
  <sheetFormatPr defaultRowHeight="14.4" x14ac:dyDescent="0.3"/>
  <cols>
    <col min="3" max="3" width="69.77734375" customWidth="1"/>
  </cols>
  <sheetData>
    <row r="2" spans="2:3" x14ac:dyDescent="0.3">
      <c r="B2" t="s">
        <v>6</v>
      </c>
      <c r="C2" s="1" t="s">
        <v>7</v>
      </c>
    </row>
    <row r="3" spans="2:3" x14ac:dyDescent="0.3">
      <c r="B3" t="s">
        <v>5</v>
      </c>
      <c r="C3" s="1">
        <v>46290</v>
      </c>
    </row>
    <row r="4" spans="2:3" x14ac:dyDescent="0.3">
      <c r="B4" t="s">
        <v>0</v>
      </c>
      <c r="C4" t="s">
        <v>164</v>
      </c>
    </row>
    <row r="5" spans="2:3" x14ac:dyDescent="0.3">
      <c r="B5" t="s">
        <v>1</v>
      </c>
      <c r="C5" t="s">
        <v>2</v>
      </c>
    </row>
    <row r="6" spans="2:3" x14ac:dyDescent="0.3">
      <c r="B6" t="s">
        <v>3</v>
      </c>
      <c r="C6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10C6-BEF7-4963-8AF4-207B1F5DDC4F}">
  <dimension ref="B2:J157"/>
  <sheetViews>
    <sheetView workbookViewId="0">
      <selection activeCell="A3" sqref="A3"/>
    </sheetView>
  </sheetViews>
  <sheetFormatPr defaultRowHeight="14.4" x14ac:dyDescent="0.3"/>
  <cols>
    <col min="2" max="2" width="13.5546875" customWidth="1"/>
    <col min="3" max="3" width="4.5546875" customWidth="1"/>
    <col min="4" max="4" width="18.88671875" customWidth="1"/>
    <col min="5" max="5" width="20.6640625" customWidth="1"/>
    <col min="6" max="6" width="21.6640625" bestFit="1" customWidth="1"/>
    <col min="7" max="7" width="53.88671875" bestFit="1" customWidth="1"/>
    <col min="10" max="10" width="20.33203125" customWidth="1"/>
  </cols>
  <sheetData>
    <row r="2" spans="2:10" x14ac:dyDescent="0.3">
      <c r="B2" t="s">
        <v>155</v>
      </c>
      <c r="D2" t="str" cm="1">
        <f t="array" ref="D2">_xll.RScript.Evaluate(B2)</f>
        <v>ds</v>
      </c>
    </row>
    <row r="3" spans="2:10" x14ac:dyDescent="0.3">
      <c r="B3" t="s">
        <v>156</v>
      </c>
      <c r="D3" t="str" cm="1">
        <f t="array" ref="D3:G157">_xll.RScript.Evaluate(B3)</f>
        <v>ggthemes</v>
      </c>
      <c r="E3" t="str">
        <v>D:/R/R-4.5.2/library</v>
      </c>
      <c r="F3" t="str">
        <v>canva_palettes</v>
      </c>
      <c r="G3" t="str">
        <v>150 Color Palettes from Canva</v>
      </c>
      <c r="J3" t="str">
        <f>"datasets::"&amp;F26</f>
        <v>datasets::population</v>
      </c>
    </row>
    <row r="4" spans="2:10" x14ac:dyDescent="0.3">
      <c r="D4" t="str">
        <v>ggthemes</v>
      </c>
      <c r="E4" t="str">
        <v>D:/R/R-4.5.2/library</v>
      </c>
      <c r="F4" t="str">
        <v>ggthemes_data</v>
      </c>
      <c r="G4" t="str">
        <v>Palette and theme data</v>
      </c>
    </row>
    <row r="5" spans="2:10" x14ac:dyDescent="0.3">
      <c r="D5" t="str">
        <v>forecast</v>
      </c>
      <c r="E5" t="str">
        <v>D:/R/R-4.5.2/library</v>
      </c>
      <c r="F5" t="str">
        <v>gas</v>
      </c>
      <c r="G5" t="str">
        <v>Australian monthly gas production</v>
      </c>
    </row>
    <row r="6" spans="2:10" x14ac:dyDescent="0.3">
      <c r="D6" t="str">
        <v>forecast</v>
      </c>
      <c r="E6" t="str">
        <v>D:/R/R-4.5.2/library</v>
      </c>
      <c r="F6" t="str">
        <v>gold</v>
      </c>
      <c r="G6" t="str">
        <v>Daily morning gold prices</v>
      </c>
    </row>
    <row r="7" spans="2:10" x14ac:dyDescent="0.3">
      <c r="D7" t="str">
        <v>forecast</v>
      </c>
      <c r="E7" t="str">
        <v>D:/R/R-4.5.2/library</v>
      </c>
      <c r="F7" t="str">
        <v>taylor</v>
      </c>
      <c r="G7" t="str">
        <v>Half-hourly electricity demand</v>
      </c>
    </row>
    <row r="8" spans="2:10" x14ac:dyDescent="0.3">
      <c r="D8" t="str">
        <v>forecast</v>
      </c>
      <c r="E8" t="str">
        <v>D:/R/R-4.5.2/library</v>
      </c>
      <c r="F8" t="str">
        <v>wineind</v>
      </c>
      <c r="G8" t="str">
        <v>Australian total wine sales</v>
      </c>
    </row>
    <row r="9" spans="2:10" x14ac:dyDescent="0.3">
      <c r="D9" t="str">
        <v>forecast</v>
      </c>
      <c r="E9" t="str">
        <v>D:/R/R-4.5.2/library</v>
      </c>
      <c r="F9" t="str">
        <v>woolyrnq</v>
      </c>
      <c r="G9" t="str">
        <v>Quarterly production of woollen yarn in Australia</v>
      </c>
    </row>
    <row r="10" spans="2:10" x14ac:dyDescent="0.3">
      <c r="D10" t="str">
        <v>lubridate</v>
      </c>
      <c r="E10" t="str">
        <v>D:/R/R-4.5.2/library</v>
      </c>
      <c r="F10" t="str">
        <v>lakers</v>
      </c>
      <c r="G10" t="str">
        <v>Lakers 2008-2009 basketball data set</v>
      </c>
    </row>
    <row r="11" spans="2:10" x14ac:dyDescent="0.3">
      <c r="D11" t="str">
        <v>forcats</v>
      </c>
      <c r="E11" t="str">
        <v>D:/R/R-4.5.2/library</v>
      </c>
      <c r="F11" t="str">
        <v>gss_cat</v>
      </c>
      <c r="G11" t="str">
        <v>A sample of categorical variables from the General Social survey</v>
      </c>
    </row>
    <row r="12" spans="2:10" x14ac:dyDescent="0.3">
      <c r="D12" t="str">
        <v>stringr</v>
      </c>
      <c r="E12" t="str">
        <v>D:/R/R-4.5.2/library</v>
      </c>
      <c r="F12" t="str">
        <v>fruit</v>
      </c>
      <c r="G12" t="str">
        <v>Sample character vectors for practicing string manipulations</v>
      </c>
    </row>
    <row r="13" spans="2:10" x14ac:dyDescent="0.3">
      <c r="D13" t="str">
        <v>stringr</v>
      </c>
      <c r="E13" t="str">
        <v>D:/R/R-4.5.2/library</v>
      </c>
      <c r="F13" t="str">
        <v>sentences</v>
      </c>
      <c r="G13" t="str">
        <v>Sample character vectors for practicing string manipulations</v>
      </c>
    </row>
    <row r="14" spans="2:10" x14ac:dyDescent="0.3">
      <c r="D14" t="str">
        <v>stringr</v>
      </c>
      <c r="E14" t="str">
        <v>D:/R/R-4.5.2/library</v>
      </c>
      <c r="F14" t="str">
        <v>words</v>
      </c>
      <c r="G14" t="str">
        <v>Sample character vectors for practicing string manipulations</v>
      </c>
    </row>
    <row r="15" spans="2:10" x14ac:dyDescent="0.3">
      <c r="D15" t="str">
        <v>dplyr</v>
      </c>
      <c r="E15" t="str">
        <v>D:/R/R-4.5.2/library</v>
      </c>
      <c r="F15" t="str">
        <v>band_instruments</v>
      </c>
      <c r="G15" t="str">
        <v>Band membership</v>
      </c>
    </row>
    <row r="16" spans="2:10" x14ac:dyDescent="0.3">
      <c r="D16" t="str">
        <v>dplyr</v>
      </c>
      <c r="E16" t="str">
        <v>D:/R/R-4.5.2/library</v>
      </c>
      <c r="F16" t="str">
        <v>band_instruments2</v>
      </c>
      <c r="G16" t="str">
        <v>Band membership</v>
      </c>
    </row>
    <row r="17" spans="4:7" x14ac:dyDescent="0.3">
      <c r="D17" t="str">
        <v>dplyr</v>
      </c>
      <c r="E17" t="str">
        <v>D:/R/R-4.5.2/library</v>
      </c>
      <c r="F17" t="str">
        <v>band_members</v>
      </c>
      <c r="G17" t="str">
        <v>Band membership</v>
      </c>
    </row>
    <row r="18" spans="4:7" x14ac:dyDescent="0.3">
      <c r="D18" t="str">
        <v>dplyr</v>
      </c>
      <c r="E18" t="str">
        <v>D:/R/R-4.5.2/library</v>
      </c>
      <c r="F18" t="str">
        <v>starwars</v>
      </c>
      <c r="G18" t="str">
        <v>Starwars characters</v>
      </c>
    </row>
    <row r="19" spans="4:7" x14ac:dyDescent="0.3">
      <c r="D19" t="str">
        <v>dplyr</v>
      </c>
      <c r="E19" t="str">
        <v>D:/R/R-4.5.2/library</v>
      </c>
      <c r="F19" t="str">
        <v>storms</v>
      </c>
      <c r="G19" t="str">
        <v>Storm tracks data</v>
      </c>
    </row>
    <row r="20" spans="4:7" x14ac:dyDescent="0.3">
      <c r="D20" t="str">
        <v>tidyr</v>
      </c>
      <c r="E20" t="str">
        <v>D:/R/R-4.5.2/library</v>
      </c>
      <c r="F20" t="str">
        <v>billboard</v>
      </c>
      <c r="G20" t="str">
        <v>Song rankings for Billboard top 100 in the year 2000</v>
      </c>
    </row>
    <row r="21" spans="4:7" x14ac:dyDescent="0.3">
      <c r="D21" t="str">
        <v>tidyr</v>
      </c>
      <c r="E21" t="str">
        <v>D:/R/R-4.5.2/library</v>
      </c>
      <c r="F21" t="str">
        <v>cms_patient_care</v>
      </c>
      <c r="G21" t="str">
        <v>Data from the Centers for Medicare &amp; Medicaid Services</v>
      </c>
    </row>
    <row r="22" spans="4:7" x14ac:dyDescent="0.3">
      <c r="D22" t="str">
        <v>tidyr</v>
      </c>
      <c r="E22" t="str">
        <v>D:/R/R-4.5.2/library</v>
      </c>
      <c r="F22" t="str">
        <v>cms_patient_experience</v>
      </c>
      <c r="G22" t="str">
        <v>Data from the Centers for Medicare &amp; Medicaid Services</v>
      </c>
    </row>
    <row r="23" spans="4:7" x14ac:dyDescent="0.3">
      <c r="D23" t="str">
        <v>tidyr</v>
      </c>
      <c r="E23" t="str">
        <v>D:/R/R-4.5.2/library</v>
      </c>
      <c r="F23" t="str">
        <v>construction</v>
      </c>
      <c r="G23" t="str">
        <v>Completed construction in the US in 2018</v>
      </c>
    </row>
    <row r="24" spans="4:7" x14ac:dyDescent="0.3">
      <c r="D24" t="str">
        <v>tidyr</v>
      </c>
      <c r="E24" t="str">
        <v>D:/R/R-4.5.2/library</v>
      </c>
      <c r="F24" t="str">
        <v>fish_encounters</v>
      </c>
      <c r="G24" t="str">
        <v>Fish encounters</v>
      </c>
    </row>
    <row r="25" spans="4:7" x14ac:dyDescent="0.3">
      <c r="D25" t="str">
        <v>tidyr</v>
      </c>
      <c r="E25" t="str">
        <v>D:/R/R-4.5.2/library</v>
      </c>
      <c r="F25" t="str">
        <v>household</v>
      </c>
      <c r="G25" t="str">
        <v>Household data</v>
      </c>
    </row>
    <row r="26" spans="4:7" x14ac:dyDescent="0.3">
      <c r="D26" t="str">
        <v>tidyr</v>
      </c>
      <c r="E26" t="str">
        <v>D:/R/R-4.5.2/library</v>
      </c>
      <c r="F26" t="str">
        <v>population</v>
      </c>
      <c r="G26" t="str">
        <v>World Health Organization TB data</v>
      </c>
    </row>
    <row r="27" spans="4:7" x14ac:dyDescent="0.3">
      <c r="D27" t="str">
        <v>tidyr</v>
      </c>
      <c r="E27" t="str">
        <v>D:/R/R-4.5.2/library</v>
      </c>
      <c r="F27" t="str">
        <v>relig_income</v>
      </c>
      <c r="G27" t="str">
        <v>Pew religion and income survey</v>
      </c>
    </row>
    <row r="28" spans="4:7" x14ac:dyDescent="0.3">
      <c r="D28" t="str">
        <v>tidyr</v>
      </c>
      <c r="E28" t="str">
        <v>D:/R/R-4.5.2/library</v>
      </c>
      <c r="F28" t="str">
        <v>smiths</v>
      </c>
      <c r="G28" t="str">
        <v>Some data about the Smith family</v>
      </c>
    </row>
    <row r="29" spans="4:7" x14ac:dyDescent="0.3">
      <c r="D29" t="str">
        <v>tidyr</v>
      </c>
      <c r="E29" t="str">
        <v>D:/R/R-4.5.2/library</v>
      </c>
      <c r="F29" t="str">
        <v>table1</v>
      </c>
      <c r="G29" t="str">
        <v>Example tabular representations</v>
      </c>
    </row>
    <row r="30" spans="4:7" x14ac:dyDescent="0.3">
      <c r="D30" t="str">
        <v>tidyr</v>
      </c>
      <c r="E30" t="str">
        <v>D:/R/R-4.5.2/library</v>
      </c>
      <c r="F30" t="str">
        <v>table2</v>
      </c>
      <c r="G30" t="str">
        <v>Example tabular representations</v>
      </c>
    </row>
    <row r="31" spans="4:7" x14ac:dyDescent="0.3">
      <c r="D31" t="str">
        <v>tidyr</v>
      </c>
      <c r="E31" t="str">
        <v>D:/R/R-4.5.2/library</v>
      </c>
      <c r="F31" t="str">
        <v>table3</v>
      </c>
      <c r="G31" t="str">
        <v>Example tabular representations</v>
      </c>
    </row>
    <row r="32" spans="4:7" x14ac:dyDescent="0.3">
      <c r="D32" t="str">
        <v>tidyr</v>
      </c>
      <c r="E32" t="str">
        <v>D:/R/R-4.5.2/library</v>
      </c>
      <c r="F32" t="str">
        <v>table4a</v>
      </c>
      <c r="G32" t="str">
        <v>Example tabular representations</v>
      </c>
    </row>
    <row r="33" spans="4:7" x14ac:dyDescent="0.3">
      <c r="D33" t="str">
        <v>tidyr</v>
      </c>
      <c r="E33" t="str">
        <v>D:/R/R-4.5.2/library</v>
      </c>
      <c r="F33" t="str">
        <v>table4b</v>
      </c>
      <c r="G33" t="str">
        <v>Example tabular representations</v>
      </c>
    </row>
    <row r="34" spans="4:7" x14ac:dyDescent="0.3">
      <c r="D34" t="str">
        <v>tidyr</v>
      </c>
      <c r="E34" t="str">
        <v>D:/R/R-4.5.2/library</v>
      </c>
      <c r="F34" t="str">
        <v>table5</v>
      </c>
      <c r="G34" t="str">
        <v>Example tabular representations</v>
      </c>
    </row>
    <row r="35" spans="4:7" x14ac:dyDescent="0.3">
      <c r="D35" t="str">
        <v>tidyr</v>
      </c>
      <c r="E35" t="str">
        <v>D:/R/R-4.5.2/library</v>
      </c>
      <c r="F35" t="str">
        <v>us_rent_income</v>
      </c>
      <c r="G35" t="str">
        <v>US rent and income data</v>
      </c>
    </row>
    <row r="36" spans="4:7" x14ac:dyDescent="0.3">
      <c r="D36" t="str">
        <v>tidyr</v>
      </c>
      <c r="E36" t="str">
        <v>D:/R/R-4.5.2/library</v>
      </c>
      <c r="F36" t="str">
        <v>who</v>
      </c>
      <c r="G36" t="str">
        <v>World Health Organization TB data</v>
      </c>
    </row>
    <row r="37" spans="4:7" x14ac:dyDescent="0.3">
      <c r="D37" t="str">
        <v>tidyr</v>
      </c>
      <c r="E37" t="str">
        <v>D:/R/R-4.5.2/library</v>
      </c>
      <c r="F37" t="str">
        <v>who2</v>
      </c>
      <c r="G37" t="str">
        <v>World Health Organization TB data</v>
      </c>
    </row>
    <row r="38" spans="4:7" x14ac:dyDescent="0.3">
      <c r="D38" t="str">
        <v>tidyr</v>
      </c>
      <c r="E38" t="str">
        <v>D:/R/R-4.5.2/library</v>
      </c>
      <c r="F38" t="str">
        <v>world_bank_pop</v>
      </c>
      <c r="G38" t="str">
        <v>Population data from the World Bank</v>
      </c>
    </row>
    <row r="39" spans="4:7" x14ac:dyDescent="0.3">
      <c r="D39" t="str">
        <v>ggplot2</v>
      </c>
      <c r="E39" t="str">
        <v>D:/R/R-4.5.2/library</v>
      </c>
      <c r="F39" t="str">
        <v>diamonds</v>
      </c>
      <c r="G39" t="str">
        <v>Prices of over 50,000 round cut diamonds</v>
      </c>
    </row>
    <row r="40" spans="4:7" x14ac:dyDescent="0.3">
      <c r="D40" t="str">
        <v>ggplot2</v>
      </c>
      <c r="E40" t="str">
        <v>D:/R/R-4.5.2/library</v>
      </c>
      <c r="F40" t="str">
        <v>economics</v>
      </c>
      <c r="G40" t="str">
        <v>US economic time series</v>
      </c>
    </row>
    <row r="41" spans="4:7" x14ac:dyDescent="0.3">
      <c r="D41" t="str">
        <v>ggplot2</v>
      </c>
      <c r="E41" t="str">
        <v>D:/R/R-4.5.2/library</v>
      </c>
      <c r="F41" t="str">
        <v>economics_long</v>
      </c>
      <c r="G41" t="str">
        <v>US economic time series</v>
      </c>
    </row>
    <row r="42" spans="4:7" x14ac:dyDescent="0.3">
      <c r="D42" t="str">
        <v>ggplot2</v>
      </c>
      <c r="E42" t="str">
        <v>D:/R/R-4.5.2/library</v>
      </c>
      <c r="F42" t="str">
        <v>faithfuld</v>
      </c>
      <c r="G42" t="str">
        <v>2d density estimate of Old Faithful data</v>
      </c>
    </row>
    <row r="43" spans="4:7" x14ac:dyDescent="0.3">
      <c r="D43" t="str">
        <v>ggplot2</v>
      </c>
      <c r="E43" t="str">
        <v>D:/R/R-4.5.2/library</v>
      </c>
      <c r="F43" t="str">
        <v>luv_colours</v>
      </c>
      <c r="G43" t="str">
        <v>'colors()' in Luv space</v>
      </c>
    </row>
    <row r="44" spans="4:7" x14ac:dyDescent="0.3">
      <c r="D44" t="str">
        <v>ggplot2</v>
      </c>
      <c r="E44" t="str">
        <v>D:/R/R-4.5.2/library</v>
      </c>
      <c r="F44" t="str">
        <v>midwest</v>
      </c>
      <c r="G44" t="str">
        <v>Midwest demographics</v>
      </c>
    </row>
    <row r="45" spans="4:7" x14ac:dyDescent="0.3">
      <c r="D45" t="str">
        <v>ggplot2</v>
      </c>
      <c r="E45" t="str">
        <v>D:/R/R-4.5.2/library</v>
      </c>
      <c r="F45" t="str">
        <v>mpg</v>
      </c>
      <c r="G45" t="str">
        <v>Fuel economy data from 1999 to 2008 for 38 popular models of cars</v>
      </c>
    </row>
    <row r="46" spans="4:7" x14ac:dyDescent="0.3">
      <c r="D46" t="str">
        <v>ggplot2</v>
      </c>
      <c r="E46" t="str">
        <v>D:/R/R-4.5.2/library</v>
      </c>
      <c r="F46" t="str">
        <v>msleep</v>
      </c>
      <c r="G46" t="str">
        <v>An updated and expanded version of the mammals sleep dataset</v>
      </c>
    </row>
    <row r="47" spans="4:7" x14ac:dyDescent="0.3">
      <c r="D47" t="str">
        <v>ggplot2</v>
      </c>
      <c r="E47" t="str">
        <v>D:/R/R-4.5.2/library</v>
      </c>
      <c r="F47" t="str">
        <v>presidential</v>
      </c>
      <c r="G47" t="str">
        <v>Terms of 12 presidents from Eisenhower to Trump</v>
      </c>
    </row>
    <row r="48" spans="4:7" x14ac:dyDescent="0.3">
      <c r="D48" t="str">
        <v>ggplot2</v>
      </c>
      <c r="E48" t="str">
        <v>D:/R/R-4.5.2/library</v>
      </c>
      <c r="F48" t="str">
        <v>seals</v>
      </c>
      <c r="G48" t="str">
        <v>Vector field of seal movements</v>
      </c>
    </row>
    <row r="49" spans="4:7" x14ac:dyDescent="0.3">
      <c r="D49" t="str">
        <v>ggplot2</v>
      </c>
      <c r="E49" t="str">
        <v>D:/R/R-4.5.2/library</v>
      </c>
      <c r="F49" t="str">
        <v>txhousing</v>
      </c>
      <c r="G49" t="str">
        <v>Housing sales in TX</v>
      </c>
    </row>
    <row r="50" spans="4:7" x14ac:dyDescent="0.3">
      <c r="D50" t="str">
        <v>datasets</v>
      </c>
      <c r="E50" t="str">
        <v>D:/R/R-4.5.2/library</v>
      </c>
      <c r="F50" t="str">
        <v>AirPassengers</v>
      </c>
      <c r="G50" t="str">
        <v>Monthly Airline Passenger Numbers 1949-1960</v>
      </c>
    </row>
    <row r="51" spans="4:7" x14ac:dyDescent="0.3">
      <c r="D51" t="str">
        <v>datasets</v>
      </c>
      <c r="E51" t="str">
        <v>D:/R/R-4.5.2/library</v>
      </c>
      <c r="F51" t="str">
        <v>BJsales</v>
      </c>
      <c r="G51" t="str">
        <v>Sales Data with Leading Indicator</v>
      </c>
    </row>
    <row r="52" spans="4:7" x14ac:dyDescent="0.3">
      <c r="D52" t="str">
        <v>datasets</v>
      </c>
      <c r="E52" t="str">
        <v>D:/R/R-4.5.2/library</v>
      </c>
      <c r="F52" t="str">
        <v>BJsales.lead (BJsales)</v>
      </c>
      <c r="G52" t="str">
        <v>Sales Data with Leading Indicator</v>
      </c>
    </row>
    <row r="53" spans="4:7" x14ac:dyDescent="0.3">
      <c r="D53" t="str">
        <v>datasets</v>
      </c>
      <c r="E53" t="str">
        <v>D:/R/R-4.5.2/library</v>
      </c>
      <c r="F53" t="str">
        <v>BOD</v>
      </c>
      <c r="G53" t="str">
        <v>Biochemical Oxygen Demand</v>
      </c>
    </row>
    <row r="54" spans="4:7" x14ac:dyDescent="0.3">
      <c r="D54" t="str">
        <v>datasets</v>
      </c>
      <c r="E54" t="str">
        <v>D:/R/R-4.5.2/library</v>
      </c>
      <c r="F54" t="str">
        <v>CO2</v>
      </c>
      <c r="G54" t="str">
        <v>Carbon Dioxide Uptake in Grass Plants</v>
      </c>
    </row>
    <row r="55" spans="4:7" x14ac:dyDescent="0.3">
      <c r="D55" t="str">
        <v>datasets</v>
      </c>
      <c r="E55" t="str">
        <v>D:/R/R-4.5.2/library</v>
      </c>
      <c r="F55" t="str">
        <v>ChickWeight</v>
      </c>
      <c r="G55" t="str">
        <v>Weight versus age of chicks on different diets</v>
      </c>
    </row>
    <row r="56" spans="4:7" x14ac:dyDescent="0.3">
      <c r="D56" t="str">
        <v>datasets</v>
      </c>
      <c r="E56" t="str">
        <v>D:/R/R-4.5.2/library</v>
      </c>
      <c r="F56" t="str">
        <v>DNase</v>
      </c>
      <c r="G56" t="str">
        <v>Elisa assay of DNase</v>
      </c>
    </row>
    <row r="57" spans="4:7" x14ac:dyDescent="0.3">
      <c r="D57" t="str">
        <v>datasets</v>
      </c>
      <c r="E57" t="str">
        <v>D:/R/R-4.5.2/library</v>
      </c>
      <c r="F57" t="str">
        <v>EuStockMarkets</v>
      </c>
      <c r="G57" t="str">
        <v>Daily Closing Prices of Major European Stock Indices, 1991-1998</v>
      </c>
    </row>
    <row r="58" spans="4:7" x14ac:dyDescent="0.3">
      <c r="D58" t="str">
        <v>datasets</v>
      </c>
      <c r="E58" t="str">
        <v>D:/R/R-4.5.2/library</v>
      </c>
      <c r="F58" t="str">
        <v>Formaldehyde</v>
      </c>
      <c r="G58" t="str">
        <v>Determination of Formaldehyde</v>
      </c>
    </row>
    <row r="59" spans="4:7" x14ac:dyDescent="0.3">
      <c r="D59" t="str">
        <v>datasets</v>
      </c>
      <c r="E59" t="str">
        <v>D:/R/R-4.5.2/library</v>
      </c>
      <c r="F59" t="str">
        <v>HairEyeColor</v>
      </c>
      <c r="G59" t="str">
        <v>Hair and Eye Color of Statistics Students</v>
      </c>
    </row>
    <row r="60" spans="4:7" x14ac:dyDescent="0.3">
      <c r="D60" t="str">
        <v>datasets</v>
      </c>
      <c r="E60" t="str">
        <v>D:/R/R-4.5.2/library</v>
      </c>
      <c r="F60" t="str">
        <v>Harman23.cor</v>
      </c>
      <c r="G60" t="str">
        <v>Harman Example 2.3</v>
      </c>
    </row>
    <row r="61" spans="4:7" x14ac:dyDescent="0.3">
      <c r="D61" t="str">
        <v>datasets</v>
      </c>
      <c r="E61" t="str">
        <v>D:/R/R-4.5.2/library</v>
      </c>
      <c r="F61" t="str">
        <v>Harman74.cor</v>
      </c>
      <c r="G61" t="str">
        <v>Harman Example 7.4</v>
      </c>
    </row>
    <row r="62" spans="4:7" x14ac:dyDescent="0.3">
      <c r="D62" t="str">
        <v>datasets</v>
      </c>
      <c r="E62" t="str">
        <v>D:/R/R-4.5.2/library</v>
      </c>
      <c r="F62" t="str">
        <v>Indometh</v>
      </c>
      <c r="G62" t="str">
        <v>Pharmacokinetics of Indomethacin</v>
      </c>
    </row>
    <row r="63" spans="4:7" x14ac:dyDescent="0.3">
      <c r="D63" t="str">
        <v>datasets</v>
      </c>
      <c r="E63" t="str">
        <v>D:/R/R-4.5.2/library</v>
      </c>
      <c r="F63" t="str">
        <v>InsectSprays</v>
      </c>
      <c r="G63" t="str">
        <v>Effectiveness of Insect Sprays</v>
      </c>
    </row>
    <row r="64" spans="4:7" x14ac:dyDescent="0.3">
      <c r="D64" t="str">
        <v>datasets</v>
      </c>
      <c r="E64" t="str">
        <v>D:/R/R-4.5.2/library</v>
      </c>
      <c r="F64" t="str">
        <v>JohnsonJohnson</v>
      </c>
      <c r="G64" t="str">
        <v>Quarterly Earnings per Johnson &amp; Johnson Share</v>
      </c>
    </row>
    <row r="65" spans="4:7" x14ac:dyDescent="0.3">
      <c r="D65" t="str">
        <v>datasets</v>
      </c>
      <c r="E65" t="str">
        <v>D:/R/R-4.5.2/library</v>
      </c>
      <c r="F65" t="str">
        <v>LakeHuron</v>
      </c>
      <c r="G65" t="str">
        <v>Level of Lake Huron 1875-1972</v>
      </c>
    </row>
    <row r="66" spans="4:7" x14ac:dyDescent="0.3">
      <c r="D66" t="str">
        <v>datasets</v>
      </c>
      <c r="E66" t="str">
        <v>D:/R/R-4.5.2/library</v>
      </c>
      <c r="F66" t="str">
        <v>LifeCycleSavings</v>
      </c>
      <c r="G66" t="str">
        <v>Intercountry Life-Cycle Savings Data</v>
      </c>
    </row>
    <row r="67" spans="4:7" x14ac:dyDescent="0.3">
      <c r="D67" t="str">
        <v>datasets</v>
      </c>
      <c r="E67" t="str">
        <v>D:/R/R-4.5.2/library</v>
      </c>
      <c r="F67" t="str">
        <v>Loblolly</v>
      </c>
      <c r="G67" t="str">
        <v>Growth of Loblolly Pine Trees</v>
      </c>
    </row>
    <row r="68" spans="4:7" x14ac:dyDescent="0.3">
      <c r="D68" t="str">
        <v>datasets</v>
      </c>
      <c r="E68" t="str">
        <v>D:/R/R-4.5.2/library</v>
      </c>
      <c r="F68" t="str">
        <v>Nile</v>
      </c>
      <c r="G68" t="str">
        <v>Flow of the River Nile</v>
      </c>
    </row>
    <row r="69" spans="4:7" x14ac:dyDescent="0.3">
      <c r="D69" t="str">
        <v>datasets</v>
      </c>
      <c r="E69" t="str">
        <v>D:/R/R-4.5.2/library</v>
      </c>
      <c r="F69" t="str">
        <v>Orange</v>
      </c>
      <c r="G69" t="str">
        <v>Growth of Orange Trees</v>
      </c>
    </row>
    <row r="70" spans="4:7" x14ac:dyDescent="0.3">
      <c r="D70" t="str">
        <v>datasets</v>
      </c>
      <c r="E70" t="str">
        <v>D:/R/R-4.5.2/library</v>
      </c>
      <c r="F70" t="str">
        <v>OrchardSprays</v>
      </c>
      <c r="G70" t="str">
        <v>Potency of Orchard Sprays</v>
      </c>
    </row>
    <row r="71" spans="4:7" x14ac:dyDescent="0.3">
      <c r="D71" t="str">
        <v>datasets</v>
      </c>
      <c r="E71" t="str">
        <v>D:/R/R-4.5.2/library</v>
      </c>
      <c r="F71" t="str">
        <v>PlantGrowth</v>
      </c>
      <c r="G71" t="str">
        <v>Results from an Experiment on Plant Growth</v>
      </c>
    </row>
    <row r="72" spans="4:7" x14ac:dyDescent="0.3">
      <c r="D72" t="str">
        <v>datasets</v>
      </c>
      <c r="E72" t="str">
        <v>D:/R/R-4.5.2/library</v>
      </c>
      <c r="F72" t="str">
        <v>Puromycin</v>
      </c>
      <c r="G72" t="str">
        <v>Reaction Velocity of an Enzymatic Reaction</v>
      </c>
    </row>
    <row r="73" spans="4:7" x14ac:dyDescent="0.3">
      <c r="D73" t="str">
        <v>datasets</v>
      </c>
      <c r="E73" t="str">
        <v>D:/R/R-4.5.2/library</v>
      </c>
      <c r="F73" t="str">
        <v>Seatbelts</v>
      </c>
      <c r="G73" t="str">
        <v>Road Casualties in Great Britain 1969-84</v>
      </c>
    </row>
    <row r="74" spans="4:7" x14ac:dyDescent="0.3">
      <c r="D74" t="str">
        <v>datasets</v>
      </c>
      <c r="E74" t="str">
        <v>D:/R/R-4.5.2/library</v>
      </c>
      <c r="F74" t="str">
        <v>Theoph</v>
      </c>
      <c r="G74" t="str">
        <v>Pharmacokinetics of Theophylline</v>
      </c>
    </row>
    <row r="75" spans="4:7" x14ac:dyDescent="0.3">
      <c r="D75" t="str">
        <v>datasets</v>
      </c>
      <c r="E75" t="str">
        <v>D:/R/R-4.5.2/library</v>
      </c>
      <c r="F75" t="str">
        <v>Titanic</v>
      </c>
      <c r="G75" t="str">
        <v>Survival of passengers on the Titanic</v>
      </c>
    </row>
    <row r="76" spans="4:7" x14ac:dyDescent="0.3">
      <c r="D76" t="str">
        <v>datasets</v>
      </c>
      <c r="E76" t="str">
        <v>D:/R/R-4.5.2/library</v>
      </c>
      <c r="F76" t="str">
        <v>ToothGrowth</v>
      </c>
      <c r="G76" t="str">
        <v>The Effect of Vitamin C on Tooth Growth in Guinea Pigs</v>
      </c>
    </row>
    <row r="77" spans="4:7" x14ac:dyDescent="0.3">
      <c r="D77" t="str">
        <v>datasets</v>
      </c>
      <c r="E77" t="str">
        <v>D:/R/R-4.5.2/library</v>
      </c>
      <c r="F77" t="str">
        <v>UCBAdmissions</v>
      </c>
      <c r="G77" t="str">
        <v>Student Admissions at UC Berkeley</v>
      </c>
    </row>
    <row r="78" spans="4:7" x14ac:dyDescent="0.3">
      <c r="D78" t="str">
        <v>datasets</v>
      </c>
      <c r="E78" t="str">
        <v>D:/R/R-4.5.2/library</v>
      </c>
      <c r="F78" t="str">
        <v>UKDriverDeaths</v>
      </c>
      <c r="G78" t="str">
        <v>Road Casualties in Great Britain 1969-84</v>
      </c>
    </row>
    <row r="79" spans="4:7" x14ac:dyDescent="0.3">
      <c r="D79" t="str">
        <v>datasets</v>
      </c>
      <c r="E79" t="str">
        <v>D:/R/R-4.5.2/library</v>
      </c>
      <c r="F79" t="str">
        <v>UKgas</v>
      </c>
      <c r="G79" t="str">
        <v>UK Quarterly Gas Consumption</v>
      </c>
    </row>
    <row r="80" spans="4:7" x14ac:dyDescent="0.3">
      <c r="D80" t="str">
        <v>datasets</v>
      </c>
      <c r="E80" t="str">
        <v>D:/R/R-4.5.2/library</v>
      </c>
      <c r="F80" t="str">
        <v>USAccDeaths</v>
      </c>
      <c r="G80" t="str">
        <v>Accidental Deaths in the US 1973-1978</v>
      </c>
    </row>
    <row r="81" spans="4:7" x14ac:dyDescent="0.3">
      <c r="D81" t="str">
        <v>datasets</v>
      </c>
      <c r="E81" t="str">
        <v>D:/R/R-4.5.2/library</v>
      </c>
      <c r="F81" t="str">
        <v>USArrests</v>
      </c>
      <c r="G81" t="str">
        <v>Violent Crime Rates by US State</v>
      </c>
    </row>
    <row r="82" spans="4:7" x14ac:dyDescent="0.3">
      <c r="D82" t="str">
        <v>datasets</v>
      </c>
      <c r="E82" t="str">
        <v>D:/R/R-4.5.2/library</v>
      </c>
      <c r="F82" t="str">
        <v>USJudgeRatings</v>
      </c>
      <c r="G82" t="str">
        <v>Lawyers' Ratings of State Judges in the US Superior Court</v>
      </c>
    </row>
    <row r="83" spans="4:7" x14ac:dyDescent="0.3">
      <c r="D83" t="str">
        <v>datasets</v>
      </c>
      <c r="E83" t="str">
        <v>D:/R/R-4.5.2/library</v>
      </c>
      <c r="F83" t="str">
        <v>USPersonalExpenditure</v>
      </c>
      <c r="G83" t="str">
        <v>Personal Expenditure Data</v>
      </c>
    </row>
    <row r="84" spans="4:7" x14ac:dyDescent="0.3">
      <c r="D84" t="str">
        <v>datasets</v>
      </c>
      <c r="E84" t="str">
        <v>D:/R/R-4.5.2/library</v>
      </c>
      <c r="F84" t="str">
        <v>UScitiesD</v>
      </c>
      <c r="G84" t="str">
        <v>Distances Between European Cities and Between US Cities</v>
      </c>
    </row>
    <row r="85" spans="4:7" x14ac:dyDescent="0.3">
      <c r="D85" t="str">
        <v>datasets</v>
      </c>
      <c r="E85" t="str">
        <v>D:/R/R-4.5.2/library</v>
      </c>
      <c r="F85" t="str">
        <v>VADeaths</v>
      </c>
      <c r="G85" t="str">
        <v>Death Rates in Virginia (1940)</v>
      </c>
    </row>
    <row r="86" spans="4:7" x14ac:dyDescent="0.3">
      <c r="D86" t="str">
        <v>datasets</v>
      </c>
      <c r="E86" t="str">
        <v>D:/R/R-4.5.2/library</v>
      </c>
      <c r="F86" t="str">
        <v>WWWusage</v>
      </c>
      <c r="G86" t="str">
        <v>Internet Usage per Minute</v>
      </c>
    </row>
    <row r="87" spans="4:7" x14ac:dyDescent="0.3">
      <c r="D87" t="str">
        <v>datasets</v>
      </c>
      <c r="E87" t="str">
        <v>D:/R/R-4.5.2/library</v>
      </c>
      <c r="F87" t="str">
        <v>WorldPhones</v>
      </c>
      <c r="G87" t="str">
        <v>The World's Telephones</v>
      </c>
    </row>
    <row r="88" spans="4:7" x14ac:dyDescent="0.3">
      <c r="D88" t="str">
        <v>datasets</v>
      </c>
      <c r="E88" t="str">
        <v>D:/R/R-4.5.2/library</v>
      </c>
      <c r="F88" t="str">
        <v>ability.cov</v>
      </c>
      <c r="G88" t="str">
        <v>Ability and Intelligence Tests</v>
      </c>
    </row>
    <row r="89" spans="4:7" x14ac:dyDescent="0.3">
      <c r="D89" t="str">
        <v>datasets</v>
      </c>
      <c r="E89" t="str">
        <v>D:/R/R-4.5.2/library</v>
      </c>
      <c r="F89" t="str">
        <v>airmiles</v>
      </c>
      <c r="G89" t="str">
        <v>Passenger Miles on Commercial US Airlines, 1937-1960</v>
      </c>
    </row>
    <row r="90" spans="4:7" x14ac:dyDescent="0.3">
      <c r="D90" t="str">
        <v>datasets</v>
      </c>
      <c r="E90" t="str">
        <v>D:/R/R-4.5.2/library</v>
      </c>
      <c r="F90" t="str">
        <v>airquality</v>
      </c>
      <c r="G90" t="str">
        <v>New York Air Quality Measurements</v>
      </c>
    </row>
    <row r="91" spans="4:7" x14ac:dyDescent="0.3">
      <c r="D91" t="str">
        <v>datasets</v>
      </c>
      <c r="E91" t="str">
        <v>D:/R/R-4.5.2/library</v>
      </c>
      <c r="F91" t="str">
        <v>anscombe</v>
      </c>
      <c r="G91" t="str">
        <v>Anscombe's Quartet of 'Identical' Simple Linear Regressions</v>
      </c>
    </row>
    <row r="92" spans="4:7" x14ac:dyDescent="0.3">
      <c r="D92" t="str">
        <v>datasets</v>
      </c>
      <c r="E92" t="str">
        <v>D:/R/R-4.5.2/library</v>
      </c>
      <c r="F92" t="str">
        <v>attenu</v>
      </c>
      <c r="G92" t="str">
        <v>The Joyner-Boore Attenuation Data</v>
      </c>
    </row>
    <row r="93" spans="4:7" x14ac:dyDescent="0.3">
      <c r="D93" t="str">
        <v>datasets</v>
      </c>
      <c r="E93" t="str">
        <v>D:/R/R-4.5.2/library</v>
      </c>
      <c r="F93" t="str">
        <v>attitude</v>
      </c>
      <c r="G93" t="str">
        <v>The Chatterjee-Price Attitude Data</v>
      </c>
    </row>
    <row r="94" spans="4:7" x14ac:dyDescent="0.3">
      <c r="D94" t="str">
        <v>datasets</v>
      </c>
      <c r="E94" t="str">
        <v>D:/R/R-4.5.2/library</v>
      </c>
      <c r="F94" t="str">
        <v>austres</v>
      </c>
      <c r="G94" t="str">
        <v>Quarterly Time Series of the Number of Australian Residents</v>
      </c>
    </row>
    <row r="95" spans="4:7" x14ac:dyDescent="0.3">
      <c r="D95" t="str">
        <v>datasets</v>
      </c>
      <c r="E95" t="str">
        <v>D:/R/R-4.5.2/library</v>
      </c>
      <c r="F95" t="str">
        <v>beaver1 (beavers)</v>
      </c>
      <c r="G95" t="str">
        <v>Body Temperature Series of Two Beavers</v>
      </c>
    </row>
    <row r="96" spans="4:7" x14ac:dyDescent="0.3">
      <c r="D96" t="str">
        <v>datasets</v>
      </c>
      <c r="E96" t="str">
        <v>D:/R/R-4.5.2/library</v>
      </c>
      <c r="F96" t="str">
        <v>beaver2 (beavers)</v>
      </c>
      <c r="G96" t="str">
        <v>Body Temperature Series of Two Beavers</v>
      </c>
    </row>
    <row r="97" spans="4:7" x14ac:dyDescent="0.3">
      <c r="D97" t="str">
        <v>datasets</v>
      </c>
      <c r="E97" t="str">
        <v>D:/R/R-4.5.2/library</v>
      </c>
      <c r="F97" t="str">
        <v>cars</v>
      </c>
      <c r="G97" t="str">
        <v>Speed and Stopping Distances of Cars</v>
      </c>
    </row>
    <row r="98" spans="4:7" x14ac:dyDescent="0.3">
      <c r="D98" t="str">
        <v>datasets</v>
      </c>
      <c r="E98" t="str">
        <v>D:/R/R-4.5.2/library</v>
      </c>
      <c r="F98" t="str">
        <v>chickwts</v>
      </c>
      <c r="G98" t="str">
        <v>Chicken Weights by Feed Type</v>
      </c>
    </row>
    <row r="99" spans="4:7" x14ac:dyDescent="0.3">
      <c r="D99" t="str">
        <v>datasets</v>
      </c>
      <c r="E99" t="str">
        <v>D:/R/R-4.5.2/library</v>
      </c>
      <c r="F99" t="str">
        <v>co2</v>
      </c>
      <c r="G99" t="str">
        <v>Mauna Loa Atmospheric CO2 Concentration</v>
      </c>
    </row>
    <row r="100" spans="4:7" x14ac:dyDescent="0.3">
      <c r="D100" t="str">
        <v>datasets</v>
      </c>
      <c r="E100" t="str">
        <v>D:/R/R-4.5.2/library</v>
      </c>
      <c r="F100" t="str">
        <v>crimtab</v>
      </c>
      <c r="G100" t="str">
        <v>Student's 3000 Criminals Data</v>
      </c>
    </row>
    <row r="101" spans="4:7" x14ac:dyDescent="0.3">
      <c r="D101" t="str">
        <v>datasets</v>
      </c>
      <c r="E101" t="str">
        <v>D:/R/R-4.5.2/library</v>
      </c>
      <c r="F101" t="str">
        <v>discoveries</v>
      </c>
      <c r="G101" t="str">
        <v>Yearly Numbers of Important Discoveries</v>
      </c>
    </row>
    <row r="102" spans="4:7" x14ac:dyDescent="0.3">
      <c r="D102" t="str">
        <v>datasets</v>
      </c>
      <c r="E102" t="str">
        <v>D:/R/R-4.5.2/library</v>
      </c>
      <c r="F102" t="str">
        <v>esoph</v>
      </c>
      <c r="G102" t="str">
        <v>Smoking, Alcohol and (O)esophageal Cancer</v>
      </c>
    </row>
    <row r="103" spans="4:7" x14ac:dyDescent="0.3">
      <c r="D103" t="str">
        <v>datasets</v>
      </c>
      <c r="E103" t="str">
        <v>D:/R/R-4.5.2/library</v>
      </c>
      <c r="F103" t="str">
        <v>euro</v>
      </c>
      <c r="G103" t="str">
        <v>Conversion Rates of Euro Currencies</v>
      </c>
    </row>
    <row r="104" spans="4:7" x14ac:dyDescent="0.3">
      <c r="D104" t="str">
        <v>datasets</v>
      </c>
      <c r="E104" t="str">
        <v>D:/R/R-4.5.2/library</v>
      </c>
      <c r="F104" t="str">
        <v>euro.cross (euro)</v>
      </c>
      <c r="G104" t="str">
        <v>Conversion Rates of Euro Currencies</v>
      </c>
    </row>
    <row r="105" spans="4:7" x14ac:dyDescent="0.3">
      <c r="D105" t="str">
        <v>datasets</v>
      </c>
      <c r="E105" t="str">
        <v>D:/R/R-4.5.2/library</v>
      </c>
      <c r="F105" t="str">
        <v>eurodist</v>
      </c>
      <c r="G105" t="str">
        <v>Distances Between European Cities and Between US Cities</v>
      </c>
    </row>
    <row r="106" spans="4:7" x14ac:dyDescent="0.3">
      <c r="D106" t="str">
        <v>datasets</v>
      </c>
      <c r="E106" t="str">
        <v>D:/R/R-4.5.2/library</v>
      </c>
      <c r="F106" t="str">
        <v>faithful</v>
      </c>
      <c r="G106" t="str">
        <v>Old Faithful Geyser Data</v>
      </c>
    </row>
    <row r="107" spans="4:7" x14ac:dyDescent="0.3">
      <c r="D107" t="str">
        <v>datasets</v>
      </c>
      <c r="E107" t="str">
        <v>D:/R/R-4.5.2/library</v>
      </c>
      <c r="F107" t="str">
        <v>fdeaths (UKLungDeaths)</v>
      </c>
      <c r="G107" t="str">
        <v>Monthly Deaths from Lung Diseases in the UK</v>
      </c>
    </row>
    <row r="108" spans="4:7" x14ac:dyDescent="0.3">
      <c r="D108" t="str">
        <v>datasets</v>
      </c>
      <c r="E108" t="str">
        <v>D:/R/R-4.5.2/library</v>
      </c>
      <c r="F108" t="str">
        <v>freeny</v>
      </c>
      <c r="G108" t="str">
        <v>Freeny's Revenue Data</v>
      </c>
    </row>
    <row r="109" spans="4:7" x14ac:dyDescent="0.3">
      <c r="D109" t="str">
        <v>datasets</v>
      </c>
      <c r="E109" t="str">
        <v>D:/R/R-4.5.2/library</v>
      </c>
      <c r="F109" t="str">
        <v>freeny.x (freeny)</v>
      </c>
      <c r="G109" t="str">
        <v>Freeny's Revenue Data</v>
      </c>
    </row>
    <row r="110" spans="4:7" x14ac:dyDescent="0.3">
      <c r="D110" t="str">
        <v>datasets</v>
      </c>
      <c r="E110" t="str">
        <v>D:/R/R-4.5.2/library</v>
      </c>
      <c r="F110" t="str">
        <v>freeny.y (freeny)</v>
      </c>
      <c r="G110" t="str">
        <v>Freeny's Revenue Data</v>
      </c>
    </row>
    <row r="111" spans="4:7" x14ac:dyDescent="0.3">
      <c r="D111" t="str">
        <v>datasets</v>
      </c>
      <c r="E111" t="str">
        <v>D:/R/R-4.5.2/library</v>
      </c>
      <c r="F111" t="str">
        <v>gait</v>
      </c>
      <c r="G111" t="str">
        <v>Hip and Knee Angle while Walking</v>
      </c>
    </row>
    <row r="112" spans="4:7" x14ac:dyDescent="0.3">
      <c r="D112" t="str">
        <v>datasets</v>
      </c>
      <c r="E112" t="str">
        <v>D:/R/R-4.5.2/library</v>
      </c>
      <c r="F112" t="str">
        <v>infert</v>
      </c>
      <c r="G112" t="str">
        <v>Infertility after Spontaneous and Induced Abortion</v>
      </c>
    </row>
    <row r="113" spans="4:7" x14ac:dyDescent="0.3">
      <c r="D113" t="str">
        <v>datasets</v>
      </c>
      <c r="E113" t="str">
        <v>D:/R/R-4.5.2/library</v>
      </c>
      <c r="F113" t="str">
        <v>iris</v>
      </c>
      <c r="G113" t="str">
        <v>Edgar Anderson's Iris Data</v>
      </c>
    </row>
    <row r="114" spans="4:7" x14ac:dyDescent="0.3">
      <c r="D114" t="str">
        <v>datasets</v>
      </c>
      <c r="E114" t="str">
        <v>D:/R/R-4.5.2/library</v>
      </c>
      <c r="F114" t="str">
        <v>iris3</v>
      </c>
      <c r="G114" t="str">
        <v>Edgar Anderson's Iris Data</v>
      </c>
    </row>
    <row r="115" spans="4:7" x14ac:dyDescent="0.3">
      <c r="D115" t="str">
        <v>datasets</v>
      </c>
      <c r="E115" t="str">
        <v>D:/R/R-4.5.2/library</v>
      </c>
      <c r="F115" t="str">
        <v>islands</v>
      </c>
      <c r="G115" t="str">
        <v>Areas of the World's Major Landmasses</v>
      </c>
    </row>
    <row r="116" spans="4:7" x14ac:dyDescent="0.3">
      <c r="D116" t="str">
        <v>datasets</v>
      </c>
      <c r="E116" t="str">
        <v>D:/R/R-4.5.2/library</v>
      </c>
      <c r="F116" t="str">
        <v>ldeaths (UKLungDeaths)</v>
      </c>
      <c r="G116" t="str">
        <v>Monthly Deaths from Lung Diseases in the UK</v>
      </c>
    </row>
    <row r="117" spans="4:7" x14ac:dyDescent="0.3">
      <c r="D117" t="str">
        <v>datasets</v>
      </c>
      <c r="E117" t="str">
        <v>D:/R/R-4.5.2/library</v>
      </c>
      <c r="F117" t="str">
        <v>lh</v>
      </c>
      <c r="G117" t="str">
        <v>Luteinizing Hormone in Blood Samples</v>
      </c>
    </row>
    <row r="118" spans="4:7" x14ac:dyDescent="0.3">
      <c r="D118" t="str">
        <v>datasets</v>
      </c>
      <c r="E118" t="str">
        <v>D:/R/R-4.5.2/library</v>
      </c>
      <c r="F118" t="str">
        <v>longley</v>
      </c>
      <c r="G118" t="str">
        <v>Longley's Economic Regression Data</v>
      </c>
    </row>
    <row r="119" spans="4:7" x14ac:dyDescent="0.3">
      <c r="D119" t="str">
        <v>datasets</v>
      </c>
      <c r="E119" t="str">
        <v>D:/R/R-4.5.2/library</v>
      </c>
      <c r="F119" t="str">
        <v>lynx</v>
      </c>
      <c r="G119" t="str">
        <v>Annual Canadian Lynx trappings 1821-1934</v>
      </c>
    </row>
    <row r="120" spans="4:7" x14ac:dyDescent="0.3">
      <c r="D120" t="str">
        <v>datasets</v>
      </c>
      <c r="E120" t="str">
        <v>D:/R/R-4.5.2/library</v>
      </c>
      <c r="F120" t="str">
        <v>mdeaths (UKLungDeaths)</v>
      </c>
      <c r="G120" t="str">
        <v>Monthly Deaths from Lung Diseases in the UK</v>
      </c>
    </row>
    <row r="121" spans="4:7" x14ac:dyDescent="0.3">
      <c r="D121" t="str">
        <v>datasets</v>
      </c>
      <c r="E121" t="str">
        <v>D:/R/R-4.5.2/library</v>
      </c>
      <c r="F121" t="str">
        <v>morley</v>
      </c>
      <c r="G121" t="str">
        <v>Michelson Speed of Light Data</v>
      </c>
    </row>
    <row r="122" spans="4:7" x14ac:dyDescent="0.3">
      <c r="D122" t="str">
        <v>datasets</v>
      </c>
      <c r="E122" t="str">
        <v>D:/R/R-4.5.2/library</v>
      </c>
      <c r="F122" t="str">
        <v>mtcars</v>
      </c>
      <c r="G122" t="str">
        <v>Motor Trend Car Road Tests</v>
      </c>
    </row>
    <row r="123" spans="4:7" x14ac:dyDescent="0.3">
      <c r="D123" t="str">
        <v>datasets</v>
      </c>
      <c r="E123" t="str">
        <v>D:/R/R-4.5.2/library</v>
      </c>
      <c r="F123" t="str">
        <v>nhtemp</v>
      </c>
      <c r="G123" t="str">
        <v>Average Yearly Temperatures in New Haven</v>
      </c>
    </row>
    <row r="124" spans="4:7" x14ac:dyDescent="0.3">
      <c r="D124" t="str">
        <v>datasets</v>
      </c>
      <c r="E124" t="str">
        <v>D:/R/R-4.5.2/library</v>
      </c>
      <c r="F124" t="str">
        <v>nottem</v>
      </c>
      <c r="G124" t="str">
        <v>Average Monthly Temperatures at Nottingham, 1920-1939</v>
      </c>
    </row>
    <row r="125" spans="4:7" x14ac:dyDescent="0.3">
      <c r="D125" t="str">
        <v>datasets</v>
      </c>
      <c r="E125" t="str">
        <v>D:/R/R-4.5.2/library</v>
      </c>
      <c r="F125" t="str">
        <v>npk</v>
      </c>
      <c r="G125" t="str">
        <v>Classical N, P, K Factorial Experiment</v>
      </c>
    </row>
    <row r="126" spans="4:7" x14ac:dyDescent="0.3">
      <c r="D126" t="str">
        <v>datasets</v>
      </c>
      <c r="E126" t="str">
        <v>D:/R/R-4.5.2/library</v>
      </c>
      <c r="F126" t="str">
        <v>occupationalStatus</v>
      </c>
      <c r="G126" t="str">
        <v>Occupational Status of Fathers and their Sons</v>
      </c>
    </row>
    <row r="127" spans="4:7" x14ac:dyDescent="0.3">
      <c r="D127" t="str">
        <v>datasets</v>
      </c>
      <c r="E127" t="str">
        <v>D:/R/R-4.5.2/library</v>
      </c>
      <c r="F127" t="str">
        <v>penguins</v>
      </c>
      <c r="G127" t="str">
        <v>Measurements of Penguins near Palmer Station, Antarctica</v>
      </c>
    </row>
    <row r="128" spans="4:7" x14ac:dyDescent="0.3">
      <c r="D128" t="str">
        <v>datasets</v>
      </c>
      <c r="E128" t="str">
        <v>D:/R/R-4.5.2/library</v>
      </c>
      <c r="F128" t="str">
        <v>penguins_raw (penguins)</v>
      </c>
      <c r="G128" t="str">
        <v>Measurements of Penguins near Palmer Station, Antarctica</v>
      </c>
    </row>
    <row r="129" spans="4:7" x14ac:dyDescent="0.3">
      <c r="D129" t="str">
        <v>datasets</v>
      </c>
      <c r="E129" t="str">
        <v>D:/R/R-4.5.2/library</v>
      </c>
      <c r="F129" t="str">
        <v>precip</v>
      </c>
      <c r="G129" t="str">
        <v>Annual Precipitation in Selected US Cities</v>
      </c>
    </row>
    <row r="130" spans="4:7" x14ac:dyDescent="0.3">
      <c r="D130" t="str">
        <v>datasets</v>
      </c>
      <c r="E130" t="str">
        <v>D:/R/R-4.5.2/library</v>
      </c>
      <c r="F130" t="str">
        <v>presidents</v>
      </c>
      <c r="G130" t="str">
        <v>Quarterly Approval Ratings of US Presidents</v>
      </c>
    </row>
    <row r="131" spans="4:7" x14ac:dyDescent="0.3">
      <c r="D131" t="str">
        <v>datasets</v>
      </c>
      <c r="E131" t="str">
        <v>D:/R/R-4.5.2/library</v>
      </c>
      <c r="F131" t="str">
        <v>pressure</v>
      </c>
      <c r="G131" t="str">
        <v>Vapor Pressure of Mercury as a Function of Temperature</v>
      </c>
    </row>
    <row r="132" spans="4:7" x14ac:dyDescent="0.3">
      <c r="D132" t="str">
        <v>datasets</v>
      </c>
      <c r="E132" t="str">
        <v>D:/R/R-4.5.2/library</v>
      </c>
      <c r="F132" t="str">
        <v>quakes</v>
      </c>
      <c r="G132" t="str">
        <v>Locations of Earthquakes off Fiji</v>
      </c>
    </row>
    <row r="133" spans="4:7" x14ac:dyDescent="0.3">
      <c r="D133" t="str">
        <v>datasets</v>
      </c>
      <c r="E133" t="str">
        <v>D:/R/R-4.5.2/library</v>
      </c>
      <c r="F133" t="str">
        <v>randu</v>
      </c>
      <c r="G133" t="str">
        <v>Random Numbers from Congruential Generator RANDU</v>
      </c>
    </row>
    <row r="134" spans="4:7" x14ac:dyDescent="0.3">
      <c r="D134" t="str">
        <v>datasets</v>
      </c>
      <c r="E134" t="str">
        <v>D:/R/R-4.5.2/library</v>
      </c>
      <c r="F134" t="str">
        <v>rivers</v>
      </c>
      <c r="G134" t="str">
        <v>Lengths of Major North American Rivers</v>
      </c>
    </row>
    <row r="135" spans="4:7" x14ac:dyDescent="0.3">
      <c r="D135" t="str">
        <v>datasets</v>
      </c>
      <c r="E135" t="str">
        <v>D:/R/R-4.5.2/library</v>
      </c>
      <c r="F135" t="str">
        <v>rock</v>
      </c>
      <c r="G135" t="str">
        <v>Measurements on Petroleum Rock Samples</v>
      </c>
    </row>
    <row r="136" spans="4:7" x14ac:dyDescent="0.3">
      <c r="D136" t="str">
        <v>datasets</v>
      </c>
      <c r="E136" t="str">
        <v>D:/R/R-4.5.2/library</v>
      </c>
      <c r="F136" t="str">
        <v>sleep</v>
      </c>
      <c r="G136" t="str">
        <v>Student's Sleep Data</v>
      </c>
    </row>
    <row r="137" spans="4:7" x14ac:dyDescent="0.3">
      <c r="D137" t="str">
        <v>datasets</v>
      </c>
      <c r="E137" t="str">
        <v>D:/R/R-4.5.2/library</v>
      </c>
      <c r="F137" t="str">
        <v>stack.loss (stackloss)</v>
      </c>
      <c r="G137" t="str">
        <v>Brownlee's Stack Loss Plant Data</v>
      </c>
    </row>
    <row r="138" spans="4:7" x14ac:dyDescent="0.3">
      <c r="D138" t="str">
        <v>datasets</v>
      </c>
      <c r="E138" t="str">
        <v>D:/R/R-4.5.2/library</v>
      </c>
      <c r="F138" t="str">
        <v>stack.x (stackloss)</v>
      </c>
      <c r="G138" t="str">
        <v>Brownlee's Stack Loss Plant Data</v>
      </c>
    </row>
    <row r="139" spans="4:7" x14ac:dyDescent="0.3">
      <c r="D139" t="str">
        <v>datasets</v>
      </c>
      <c r="E139" t="str">
        <v>D:/R/R-4.5.2/library</v>
      </c>
      <c r="F139" t="str">
        <v>stackloss</v>
      </c>
      <c r="G139" t="str">
        <v>Brownlee's Stack Loss Plant Data</v>
      </c>
    </row>
    <row r="140" spans="4:7" x14ac:dyDescent="0.3">
      <c r="D140" t="str">
        <v>datasets</v>
      </c>
      <c r="E140" t="str">
        <v>D:/R/R-4.5.2/library</v>
      </c>
      <c r="F140" t="str">
        <v>state.abb (state)</v>
      </c>
      <c r="G140" t="str">
        <v>US State Facts and Figures</v>
      </c>
    </row>
    <row r="141" spans="4:7" x14ac:dyDescent="0.3">
      <c r="D141" t="str">
        <v>datasets</v>
      </c>
      <c r="E141" t="str">
        <v>D:/R/R-4.5.2/library</v>
      </c>
      <c r="F141" t="str">
        <v>state.area (state)</v>
      </c>
      <c r="G141" t="str">
        <v>US State Facts and Figures</v>
      </c>
    </row>
    <row r="142" spans="4:7" x14ac:dyDescent="0.3">
      <c r="D142" t="str">
        <v>datasets</v>
      </c>
      <c r="E142" t="str">
        <v>D:/R/R-4.5.2/library</v>
      </c>
      <c r="F142" t="str">
        <v>state.center (state)</v>
      </c>
      <c r="G142" t="str">
        <v>US State Facts and Figures</v>
      </c>
    </row>
    <row r="143" spans="4:7" x14ac:dyDescent="0.3">
      <c r="D143" t="str">
        <v>datasets</v>
      </c>
      <c r="E143" t="str">
        <v>D:/R/R-4.5.2/library</v>
      </c>
      <c r="F143" t="str">
        <v>state.division (state)</v>
      </c>
      <c r="G143" t="str">
        <v>US State Facts and Figures</v>
      </c>
    </row>
    <row r="144" spans="4:7" x14ac:dyDescent="0.3">
      <c r="D144" t="str">
        <v>datasets</v>
      </c>
      <c r="E144" t="str">
        <v>D:/R/R-4.5.2/library</v>
      </c>
      <c r="F144" t="str">
        <v>state.name (state)</v>
      </c>
      <c r="G144" t="str">
        <v>US State Facts and Figures</v>
      </c>
    </row>
    <row r="145" spans="4:7" x14ac:dyDescent="0.3">
      <c r="D145" t="str">
        <v>datasets</v>
      </c>
      <c r="E145" t="str">
        <v>D:/R/R-4.5.2/library</v>
      </c>
      <c r="F145" t="str">
        <v>state.region (state)</v>
      </c>
      <c r="G145" t="str">
        <v>US State Facts and Figures</v>
      </c>
    </row>
    <row r="146" spans="4:7" x14ac:dyDescent="0.3">
      <c r="D146" t="str">
        <v>datasets</v>
      </c>
      <c r="E146" t="str">
        <v>D:/R/R-4.5.2/library</v>
      </c>
      <c r="F146" t="str">
        <v>state.x77 (state)</v>
      </c>
      <c r="G146" t="str">
        <v>US State Facts and Figures</v>
      </c>
    </row>
    <row r="147" spans="4:7" x14ac:dyDescent="0.3">
      <c r="D147" t="str">
        <v>datasets</v>
      </c>
      <c r="E147" t="str">
        <v>D:/R/R-4.5.2/library</v>
      </c>
      <c r="F147" t="str">
        <v>sunspot.m2014 (sunspot.month)</v>
      </c>
      <c r="G147" t="str">
        <v>Monthly Sunspot Data, from 1749 to "Present"</v>
      </c>
    </row>
    <row r="148" spans="4:7" x14ac:dyDescent="0.3">
      <c r="D148" t="str">
        <v>datasets</v>
      </c>
      <c r="E148" t="str">
        <v>D:/R/R-4.5.2/library</v>
      </c>
      <c r="F148" t="str">
        <v>sunspot.month</v>
      </c>
      <c r="G148" t="str">
        <v>Monthly Sunspot Data, from 1749 to "Present"</v>
      </c>
    </row>
    <row r="149" spans="4:7" x14ac:dyDescent="0.3">
      <c r="D149" t="str">
        <v>datasets</v>
      </c>
      <c r="E149" t="str">
        <v>D:/R/R-4.5.2/library</v>
      </c>
      <c r="F149" t="str">
        <v>sunspot.year</v>
      </c>
      <c r="G149" t="str">
        <v>Yearly Sunspot Data, 1700-1988</v>
      </c>
    </row>
    <row r="150" spans="4:7" x14ac:dyDescent="0.3">
      <c r="D150" t="str">
        <v>datasets</v>
      </c>
      <c r="E150" t="str">
        <v>D:/R/R-4.5.2/library</v>
      </c>
      <c r="F150" t="str">
        <v>sunspots</v>
      </c>
      <c r="G150" t="str">
        <v>Monthly Sunspot Numbers, 1749-1983</v>
      </c>
    </row>
    <row r="151" spans="4:7" x14ac:dyDescent="0.3">
      <c r="D151" t="str">
        <v>datasets</v>
      </c>
      <c r="E151" t="str">
        <v>D:/R/R-4.5.2/library</v>
      </c>
      <c r="F151" t="str">
        <v>swiss</v>
      </c>
      <c r="G151" t="str">
        <v>Swiss Fertility and Socioeconomic Indicators (1888) Data</v>
      </c>
    </row>
    <row r="152" spans="4:7" x14ac:dyDescent="0.3">
      <c r="D152" t="str">
        <v>datasets</v>
      </c>
      <c r="E152" t="str">
        <v>D:/R/R-4.5.2/library</v>
      </c>
      <c r="F152" t="str">
        <v>treering</v>
      </c>
      <c r="G152" t="str">
        <v>Yearly Tree-Ring Data, -6000-1979</v>
      </c>
    </row>
    <row r="153" spans="4:7" x14ac:dyDescent="0.3">
      <c r="D153" t="str">
        <v>datasets</v>
      </c>
      <c r="E153" t="str">
        <v>D:/R/R-4.5.2/library</v>
      </c>
      <c r="F153" t="str">
        <v>trees</v>
      </c>
      <c r="G153" t="str">
        <v>Diameter, Height and Volume for Black Cherry Trees</v>
      </c>
    </row>
    <row r="154" spans="4:7" x14ac:dyDescent="0.3">
      <c r="D154" t="str">
        <v>datasets</v>
      </c>
      <c r="E154" t="str">
        <v>D:/R/R-4.5.2/library</v>
      </c>
      <c r="F154" t="str">
        <v>uspop</v>
      </c>
      <c r="G154" t="str">
        <v>Populations Recorded by the US Census</v>
      </c>
    </row>
    <row r="155" spans="4:7" x14ac:dyDescent="0.3">
      <c r="D155" t="str">
        <v>datasets</v>
      </c>
      <c r="E155" t="str">
        <v>D:/R/R-4.5.2/library</v>
      </c>
      <c r="F155" t="str">
        <v>volcano</v>
      </c>
      <c r="G155" t="str">
        <v>Topographic Information on Auckland's Maunga Whau Volcano</v>
      </c>
    </row>
    <row r="156" spans="4:7" x14ac:dyDescent="0.3">
      <c r="D156" t="str">
        <v>datasets</v>
      </c>
      <c r="E156" t="str">
        <v>D:/R/R-4.5.2/library</v>
      </c>
      <c r="F156" t="str">
        <v>warpbreaks</v>
      </c>
      <c r="G156" t="str">
        <v>The Number of Breaks in Yarn during Weaving</v>
      </c>
    </row>
    <row r="157" spans="4:7" x14ac:dyDescent="0.3">
      <c r="D157" t="str">
        <v>datasets</v>
      </c>
      <c r="E157" t="str">
        <v>D:/R/R-4.5.2/library</v>
      </c>
      <c r="F157" t="str">
        <v>women</v>
      </c>
      <c r="G157" t="str">
        <v>Average Heights and Weights for American Women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E388-2E3A-4B45-8871-37E8CF6B9BC5}">
  <dimension ref="B2:E16"/>
  <sheetViews>
    <sheetView workbookViewId="0">
      <selection activeCell="B16" sqref="B16"/>
    </sheetView>
  </sheetViews>
  <sheetFormatPr defaultRowHeight="14.4" x14ac:dyDescent="0.3"/>
  <cols>
    <col min="2" max="2" width="12.88671875" customWidth="1"/>
  </cols>
  <sheetData>
    <row r="2" spans="2:5" x14ac:dyDescent="0.3">
      <c r="B2" t="s">
        <v>8</v>
      </c>
      <c r="D2" t="str" cm="1">
        <f t="array" ref="D2:D3">_xll.RScript.Evaluate(B2)</f>
        <v>D:/R/R-4.5.2/library/Matrix/help/solve-methods</v>
      </c>
    </row>
    <row r="3" spans="2:5" x14ac:dyDescent="0.3">
      <c r="D3" t="str">
        <v>D:/R/R-4.5.2/library/base/help/solve</v>
      </c>
    </row>
    <row r="5" spans="2:5" x14ac:dyDescent="0.3">
      <c r="B5" t="s">
        <v>11</v>
      </c>
      <c r="D5" t="str" cm="1">
        <f t="array" ref="D5">_xll.RScript.Evaluate(B5)</f>
        <v>x_1</v>
      </c>
      <c r="E5" cm="1">
        <f t="array" ref="E5">_xll.RScript.Evaluate(D5)</f>
        <v>10</v>
      </c>
    </row>
    <row r="6" spans="2:5" x14ac:dyDescent="0.3">
      <c r="B6" t="s">
        <v>12</v>
      </c>
      <c r="D6" t="str" cm="1">
        <f t="array" ref="D6">_xll.RScript.Evaluate(B6)</f>
        <v>y_1</v>
      </c>
      <c r="E6" t="str" cm="1">
        <f t="array" ref="E6">_xll.RScript.Evaluate(D6)</f>
        <v xml:space="preserve">Exception: Error: object 'y_1' not found
</v>
      </c>
    </row>
    <row r="8" spans="2:5" x14ac:dyDescent="0.3">
      <c r="B8" t="s">
        <v>9</v>
      </c>
      <c r="D8" t="str" cm="1">
        <f t="array" ref="D8:D10">_xll.RScript.Evaluate(B8)</f>
        <v>ds</v>
      </c>
    </row>
    <row r="9" spans="2:5" x14ac:dyDescent="0.3">
      <c r="D9" t="str">
        <v>x_1</v>
      </c>
    </row>
    <row r="10" spans="2:5" x14ac:dyDescent="0.3">
      <c r="D10" t="str">
        <v>y_1</v>
      </c>
    </row>
    <row r="12" spans="2:5" x14ac:dyDescent="0.3">
      <c r="B12" t="s">
        <v>10</v>
      </c>
      <c r="D12" t="str" cm="1">
        <f t="array" ref="D12:D14">_xll.RScript.Evaluate(B12)</f>
        <v>ds</v>
      </c>
    </row>
    <row r="13" spans="2:5" x14ac:dyDescent="0.3">
      <c r="D13" t="str">
        <v>x_1</v>
      </c>
    </row>
    <row r="14" spans="2:5" x14ac:dyDescent="0.3">
      <c r="D14" t="str">
        <v>y_1</v>
      </c>
    </row>
    <row r="16" spans="2:5" x14ac:dyDescent="0.3">
      <c r="B16" t="s">
        <v>13</v>
      </c>
      <c r="D16" t="str" cm="1">
        <f t="array" ref="D16">_xll.RScript.Evaluate(B16)</f>
        <v>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FB16-D8F8-4B75-A7B1-11D46F7AB184}">
  <dimension ref="B1:BC38"/>
  <sheetViews>
    <sheetView workbookViewId="0">
      <selection activeCell="H40" sqref="H40"/>
    </sheetView>
  </sheetViews>
  <sheetFormatPr defaultRowHeight="14.4" x14ac:dyDescent="0.3"/>
  <cols>
    <col min="2" max="2" width="37.109375" customWidth="1"/>
    <col min="12" max="12" width="12" bestFit="1" customWidth="1"/>
  </cols>
  <sheetData>
    <row r="1" spans="2:9" x14ac:dyDescent="0.3">
      <c r="E1">
        <v>1</v>
      </c>
      <c r="F1">
        <v>2</v>
      </c>
      <c r="G1">
        <v>3</v>
      </c>
      <c r="H1">
        <v>4</v>
      </c>
      <c r="I1">
        <v>5</v>
      </c>
    </row>
    <row r="2" spans="2:9" x14ac:dyDescent="0.3">
      <c r="B2" t="s">
        <v>14</v>
      </c>
      <c r="D2" t="str" cm="1">
        <f t="array" ref="D2">_xll.RScript.Evaluate(B2)</f>
        <v>x_2</v>
      </c>
      <c r="E2" cm="1">
        <f t="array" ref="E2:I2">TRANSPOSE(_xll.RScript.Evaluate(D2))</f>
        <v>10.4</v>
      </c>
      <c r="F2">
        <v>5.6</v>
      </c>
      <c r="G2">
        <v>3.1</v>
      </c>
      <c r="H2">
        <v>6.4</v>
      </c>
      <c r="I2">
        <v>21.7</v>
      </c>
    </row>
    <row r="3" spans="2:9" x14ac:dyDescent="0.3">
      <c r="B3" t="s">
        <v>15</v>
      </c>
      <c r="D3" cm="1">
        <f t="array" ref="D3:D7">_xll.RScript.Evaluate(B3)</f>
        <v>10.4</v>
      </c>
    </row>
    <row r="4" spans="2:9" x14ac:dyDescent="0.3">
      <c r="D4">
        <v>5.6</v>
      </c>
    </row>
    <row r="5" spans="2:9" x14ac:dyDescent="0.3">
      <c r="D5">
        <v>3.1</v>
      </c>
    </row>
    <row r="6" spans="2:9" x14ac:dyDescent="0.3">
      <c r="D6">
        <v>6.4</v>
      </c>
    </row>
    <row r="7" spans="2:9" x14ac:dyDescent="0.3">
      <c r="D7">
        <v>21.7</v>
      </c>
    </row>
    <row r="9" spans="2:9" x14ac:dyDescent="0.3">
      <c r="B9" t="s">
        <v>16</v>
      </c>
      <c r="D9" t="str" cm="1">
        <f t="array" ref="D9">_xll.RScript.Evaluate(B9)</f>
        <v>z_2</v>
      </c>
    </row>
    <row r="15" spans="2:9" x14ac:dyDescent="0.3">
      <c r="D15" t="s">
        <v>17</v>
      </c>
      <c r="E15" cm="1">
        <f t="array" ref="E15:I15">TRANSPOSE(_xll.RScript.Evaluate(D15))</f>
        <v>10.4</v>
      </c>
      <c r="F15">
        <v>5.6</v>
      </c>
      <c r="G15">
        <v>3.1</v>
      </c>
      <c r="H15">
        <v>6.4</v>
      </c>
      <c r="I15">
        <v>21.7</v>
      </c>
    </row>
    <row r="16" spans="2:9" x14ac:dyDescent="0.3">
      <c r="D16" t="s">
        <v>18</v>
      </c>
      <c r="E16" cm="1">
        <f t="array" ref="E16:I16">TRANSPOSE(_xll.RScript.Evaluate(D16))</f>
        <v>10.4</v>
      </c>
      <c r="F16">
        <v>5.6</v>
      </c>
      <c r="G16">
        <v>3.1</v>
      </c>
      <c r="H16">
        <v>6.4</v>
      </c>
      <c r="I16">
        <v>21.7</v>
      </c>
    </row>
    <row r="18" spans="2:55" x14ac:dyDescent="0.3">
      <c r="B18" t="s">
        <v>19</v>
      </c>
      <c r="E18" cm="1">
        <f t="array" ref="E18:I18">TRANSPOSE(_xll.RScript.Evaluate(B18))</f>
        <v>9.6153846153846145E-2</v>
      </c>
      <c r="F18">
        <v>0.17857142857142858</v>
      </c>
      <c r="G18">
        <v>0.32258064516129031</v>
      </c>
      <c r="H18">
        <v>0.15625</v>
      </c>
      <c r="I18">
        <v>4.6082949308755762E-2</v>
      </c>
    </row>
    <row r="20" spans="2:55" x14ac:dyDescent="0.3">
      <c r="B20" t="s">
        <v>20</v>
      </c>
      <c r="D20" t="str" cm="1">
        <f t="array" ref="D20">_xll.RScript.Evaluate(B20)</f>
        <v>v_2</v>
      </c>
      <c r="E20" cm="1">
        <f t="array" ref="E20:I20">TRANSPOSE(_xll.RScript.Evaluate(D20))</f>
        <v>32.200000000000003</v>
      </c>
      <c r="F20">
        <v>17.799999999999997</v>
      </c>
      <c r="G20">
        <v>10.3</v>
      </c>
      <c r="H20">
        <v>20.200000000000003</v>
      </c>
      <c r="I20">
        <v>66.099999999999994</v>
      </c>
    </row>
    <row r="22" spans="2:55" x14ac:dyDescent="0.3">
      <c r="B22" s="2" t="s">
        <v>21</v>
      </c>
      <c r="E22" cm="1">
        <f t="array" ref="E22:N22">TRANSPOSE(_xll.RScript.Evaluate(B22))</f>
        <v>1</v>
      </c>
      <c r="F22">
        <v>2</v>
      </c>
      <c r="G22">
        <v>3</v>
      </c>
      <c r="H22">
        <v>4</v>
      </c>
      <c r="I22">
        <v>5</v>
      </c>
      <c r="J22">
        <v>6</v>
      </c>
      <c r="K22">
        <v>7</v>
      </c>
      <c r="L22">
        <v>8</v>
      </c>
      <c r="M22">
        <v>9</v>
      </c>
      <c r="N22">
        <v>10</v>
      </c>
    </row>
    <row r="23" spans="2:55" x14ac:dyDescent="0.3">
      <c r="B23" t="s">
        <v>23</v>
      </c>
      <c r="D23" t="str" cm="1">
        <f t="array" ref="D23">TRANSPOSE(_xll.RScript.Evaluate(B23))</f>
        <v>seq_21</v>
      </c>
      <c r="E23" cm="1">
        <f t="array" ref="E23:BC23">TRANSPOSE(_xll.RScript.Evaluate(D23))</f>
        <v>-5</v>
      </c>
      <c r="F23">
        <v>-4.8</v>
      </c>
      <c r="G23">
        <v>-4.5999999999999996</v>
      </c>
      <c r="H23">
        <v>-4.4000000000000004</v>
      </c>
      <c r="I23">
        <v>-4.2</v>
      </c>
      <c r="J23">
        <v>-4</v>
      </c>
      <c r="K23">
        <v>-3.8</v>
      </c>
      <c r="L23">
        <v>-3.5999999999999996</v>
      </c>
      <c r="M23">
        <v>-3.4</v>
      </c>
      <c r="N23">
        <v>-3.2</v>
      </c>
      <c r="O23">
        <v>-3</v>
      </c>
      <c r="P23">
        <v>-2.8</v>
      </c>
      <c r="Q23">
        <v>-2.5999999999999996</v>
      </c>
      <c r="R23">
        <v>-2.4</v>
      </c>
      <c r="S23">
        <v>-2.1999999999999997</v>
      </c>
      <c r="T23">
        <v>-2</v>
      </c>
      <c r="U23">
        <v>-1.7999999999999998</v>
      </c>
      <c r="V23">
        <v>-1.5999999999999996</v>
      </c>
      <c r="W23">
        <v>-1.4</v>
      </c>
      <c r="X23">
        <v>-1.1999999999999997</v>
      </c>
      <c r="Y23">
        <v>-1</v>
      </c>
      <c r="Z23">
        <v>-0.79999999999999982</v>
      </c>
      <c r="AA23">
        <v>-0.59999999999999964</v>
      </c>
      <c r="AB23">
        <v>-0.39999999999999947</v>
      </c>
      <c r="AC23">
        <v>-0.19999999999999929</v>
      </c>
      <c r="AD23">
        <v>0</v>
      </c>
      <c r="AE23">
        <v>0.20000000000000018</v>
      </c>
      <c r="AF23">
        <v>0.40000000000000036</v>
      </c>
      <c r="AG23">
        <v>0.60000000000000053</v>
      </c>
      <c r="AH23">
        <v>0.80000000000000071</v>
      </c>
      <c r="AI23">
        <v>1</v>
      </c>
      <c r="AJ23">
        <v>1.2000000000000002</v>
      </c>
      <c r="AK23">
        <v>1.4000000000000004</v>
      </c>
      <c r="AL23">
        <v>1.6000000000000005</v>
      </c>
      <c r="AM23">
        <v>1.8000000000000007</v>
      </c>
      <c r="AN23">
        <v>2</v>
      </c>
      <c r="AO23">
        <v>2.2000000000000002</v>
      </c>
      <c r="AP23">
        <v>2.4000000000000004</v>
      </c>
      <c r="AQ23">
        <v>2.6000000000000005</v>
      </c>
      <c r="AR23">
        <v>2.8000000000000007</v>
      </c>
      <c r="AS23">
        <v>3</v>
      </c>
      <c r="AT23">
        <v>3.2000000000000011</v>
      </c>
      <c r="AU23">
        <v>3.4000000000000004</v>
      </c>
      <c r="AV23">
        <v>3.5999999999999996</v>
      </c>
      <c r="AW23">
        <v>3.8000000000000007</v>
      </c>
      <c r="AX23">
        <v>4</v>
      </c>
      <c r="AY23">
        <v>4.2000000000000011</v>
      </c>
      <c r="AZ23">
        <v>4.4000000000000004</v>
      </c>
      <c r="BA23">
        <v>4.6000000000000014</v>
      </c>
      <c r="BB23">
        <v>4.8000000000000007</v>
      </c>
      <c r="BC23">
        <v>5</v>
      </c>
    </row>
    <row r="24" spans="2:55" x14ac:dyDescent="0.3">
      <c r="B24" t="s">
        <v>22</v>
      </c>
      <c r="D24" t="str" cm="1">
        <f t="array" ref="D24">TRANSPOSE(_xll.RScript.Evaluate(B24))</f>
        <v>seq_22</v>
      </c>
      <c r="E24" cm="1">
        <f t="array" ref="E24:BC24">TRANSPOSE(_xll.RScript.Evaluate(D24))</f>
        <v>-5</v>
      </c>
      <c r="F24">
        <v>-4.8</v>
      </c>
      <c r="G24">
        <v>-4.5999999999999996</v>
      </c>
      <c r="H24">
        <v>-4.4000000000000004</v>
      </c>
      <c r="I24">
        <v>-4.2</v>
      </c>
      <c r="J24">
        <v>-4</v>
      </c>
      <c r="K24">
        <v>-3.8</v>
      </c>
      <c r="L24">
        <v>-3.5999999999999996</v>
      </c>
      <c r="M24">
        <v>-3.4</v>
      </c>
      <c r="N24">
        <v>-3.2</v>
      </c>
      <c r="O24">
        <v>-3</v>
      </c>
      <c r="P24">
        <v>-2.8</v>
      </c>
      <c r="Q24">
        <v>-2.5999999999999996</v>
      </c>
      <c r="R24">
        <v>-2.4</v>
      </c>
      <c r="S24">
        <v>-2.1999999999999997</v>
      </c>
      <c r="T24">
        <v>-2</v>
      </c>
      <c r="U24">
        <v>-1.7999999999999998</v>
      </c>
      <c r="V24">
        <v>-1.5999999999999996</v>
      </c>
      <c r="W24">
        <v>-1.4</v>
      </c>
      <c r="X24">
        <v>-1.1999999999999997</v>
      </c>
      <c r="Y24">
        <v>-1</v>
      </c>
      <c r="Z24">
        <v>-0.79999999999999982</v>
      </c>
      <c r="AA24">
        <v>-0.59999999999999964</v>
      </c>
      <c r="AB24">
        <v>-0.39999999999999947</v>
      </c>
      <c r="AC24">
        <v>-0.19999999999999929</v>
      </c>
      <c r="AD24">
        <v>0</v>
      </c>
      <c r="AE24">
        <v>0.20000000000000018</v>
      </c>
      <c r="AF24">
        <v>0.40000000000000036</v>
      </c>
      <c r="AG24">
        <v>0.60000000000000053</v>
      </c>
      <c r="AH24">
        <v>0.80000000000000071</v>
      </c>
      <c r="AI24">
        <v>1</v>
      </c>
      <c r="AJ24">
        <v>1.2000000000000002</v>
      </c>
      <c r="AK24">
        <v>1.4000000000000004</v>
      </c>
      <c r="AL24">
        <v>1.6000000000000005</v>
      </c>
      <c r="AM24">
        <v>1.8000000000000007</v>
      </c>
      <c r="AN24">
        <v>2</v>
      </c>
      <c r="AO24">
        <v>2.2000000000000002</v>
      </c>
      <c r="AP24">
        <v>2.4000000000000004</v>
      </c>
      <c r="AQ24">
        <v>2.6000000000000005</v>
      </c>
      <c r="AR24">
        <v>2.8000000000000007</v>
      </c>
      <c r="AS24">
        <v>3</v>
      </c>
      <c r="AT24">
        <v>3.2000000000000011</v>
      </c>
      <c r="AU24">
        <v>3.4000000000000004</v>
      </c>
      <c r="AV24">
        <v>3.5999999999999996</v>
      </c>
      <c r="AW24">
        <v>3.8000000000000007</v>
      </c>
      <c r="AX24">
        <v>4</v>
      </c>
      <c r="AY24">
        <v>4.2000000000000011</v>
      </c>
      <c r="AZ24">
        <v>4.4000000000000004</v>
      </c>
      <c r="BA24">
        <v>4.6000000000000014</v>
      </c>
      <c r="BB24">
        <v>4.8000000000000007</v>
      </c>
      <c r="BC24">
        <v>5</v>
      </c>
    </row>
    <row r="26" spans="2:55" x14ac:dyDescent="0.3">
      <c r="B26" t="s">
        <v>24</v>
      </c>
      <c r="D26" t="str" cm="1">
        <f t="array" ref="D26">TRANSPOSE(_xll.RScript.Evaluate(B26))</f>
        <v>seq_23</v>
      </c>
      <c r="E26" cm="1">
        <f t="array" ref="E26:I26">TRANSPOSE(_xll.RScript.Evaluate(D26))</f>
        <v>3.1</v>
      </c>
      <c r="F26">
        <v>3.1</v>
      </c>
      <c r="G26">
        <v>3.1</v>
      </c>
      <c r="H26">
        <v>3.1</v>
      </c>
      <c r="I26">
        <v>3.1</v>
      </c>
    </row>
    <row r="28" spans="2:55" x14ac:dyDescent="0.3">
      <c r="B28" t="s">
        <v>25</v>
      </c>
      <c r="D28" t="str" cm="1">
        <f t="array" ref="D28">TRANSPOSE(_xll.RScript.Evaluate(B28))</f>
        <v>z_21</v>
      </c>
      <c r="E28" cm="1">
        <f t="array" ref="E28:H28">TRANSPOSE(_xll.RScript.Evaluate(D28))</f>
        <v>1</v>
      </c>
      <c r="F28">
        <v>2</v>
      </c>
      <c r="G28">
        <v>3</v>
      </c>
      <c r="H28">
        <v>-2147483648</v>
      </c>
      <c r="J28" t="b">
        <f>ISNA(H28)</f>
        <v>0</v>
      </c>
    </row>
    <row r="29" spans="2:55" x14ac:dyDescent="0.3">
      <c r="B29" t="s">
        <v>26</v>
      </c>
      <c r="D29" t="str" cm="1">
        <f t="array" ref="D29">TRANSPOSE(_xll.RScript.Evaluate(B29))</f>
        <v>ind</v>
      </c>
      <c r="E29" t="b" cm="1">
        <f t="array" ref="E29:H29">TRANSPOSE(_xll.RScript.Evaluate(D29))</f>
        <v>0</v>
      </c>
      <c r="F29" t="b">
        <v>0</v>
      </c>
      <c r="G29" t="b">
        <v>0</v>
      </c>
      <c r="H29" t="b">
        <v>1</v>
      </c>
    </row>
    <row r="30" spans="2:55" x14ac:dyDescent="0.3">
      <c r="B30" t="s">
        <v>27</v>
      </c>
      <c r="D30" t="str" cm="1">
        <f t="array" ref="D30">TRANSPOSE(_xll.RScript.Evaluate(B30))</f>
        <v/>
      </c>
    </row>
    <row r="32" spans="2:55" x14ac:dyDescent="0.3">
      <c r="B32" t="s">
        <v>28</v>
      </c>
      <c r="E32" cm="1">
        <f t="array" ref="E32:G32">TRANSPOSE(_xll.RScript.Evaluate(B32))</f>
        <v>3.1</v>
      </c>
      <c r="F32">
        <v>6.4</v>
      </c>
      <c r="G32">
        <v>21.7</v>
      </c>
    </row>
    <row r="34" spans="2:8" x14ac:dyDescent="0.3">
      <c r="B34" t="s">
        <v>29</v>
      </c>
      <c r="D34" t="str" cm="1">
        <f t="array" ref="D34">TRANSPOSE(_xll.RScript.Evaluate(B34))</f>
        <v>fruit</v>
      </c>
    </row>
    <row r="35" spans="2:8" x14ac:dyDescent="0.3">
      <c r="B35" t="s">
        <v>30</v>
      </c>
      <c r="D35" t="str" cm="1">
        <f t="array" ref="D35">TRANSPOSE(_xll.RScript.Evaluate(B35))</f>
        <v>names(fruit)</v>
      </c>
      <c r="H35" t="str" cm="1">
        <f t="array" ref="H35:H38">_xll.RScript.Evaluate(D35)</f>
        <v>orange</v>
      </c>
    </row>
    <row r="36" spans="2:8" x14ac:dyDescent="0.3">
      <c r="B36" t="s">
        <v>31</v>
      </c>
      <c r="D36" t="str" cm="1">
        <f t="array" ref="D36">TRANSPOSE(_xll.RScript.Evaluate(B36))</f>
        <v>lunch</v>
      </c>
      <c r="E36" cm="1">
        <f t="array" ref="E36:F36">TRANSPOSE(_xll.RScript.Evaluate(D36))</f>
        <v>1</v>
      </c>
      <c r="F36">
        <v>5</v>
      </c>
      <c r="H36" t="str">
        <v>banana</v>
      </c>
    </row>
    <row r="37" spans="2:8" x14ac:dyDescent="0.3">
      <c r="H37" t="str">
        <v>apple</v>
      </c>
    </row>
    <row r="38" spans="2:8" x14ac:dyDescent="0.3">
      <c r="H38" t="str">
        <v>peach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C62F-D3CC-475F-AF43-2895B79C68F3}">
  <dimension ref="B2:N6"/>
  <sheetViews>
    <sheetView workbookViewId="0">
      <selection activeCell="D7" sqref="D7"/>
    </sheetView>
  </sheetViews>
  <sheetFormatPr defaultRowHeight="14.4" x14ac:dyDescent="0.3"/>
  <cols>
    <col min="2" max="2" width="37" customWidth="1"/>
  </cols>
  <sheetData>
    <row r="2" spans="2:14" x14ac:dyDescent="0.3">
      <c r="B2" t="s">
        <v>32</v>
      </c>
      <c r="D2" t="str" cm="1">
        <f t="array" ref="D2">_xll.RScript.Evaluate(B2)</f>
        <v>z_3</v>
      </c>
      <c r="E2" cm="1">
        <f t="array" ref="E2:N2">TRANSPOSE(_xll.RScript.Evaluate(D2))</f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</row>
    <row r="3" spans="2:14" x14ac:dyDescent="0.3">
      <c r="B3" t="s">
        <v>33</v>
      </c>
      <c r="D3" t="str" cm="1">
        <f t="array" ref="D3">_xll.RScript.Evaluate(B3)</f>
        <v>digits</v>
      </c>
      <c r="E3" t="str" cm="1">
        <f t="array" ref="E3:N3">TRANSPOSE(_xll.RScript.Evaluate(D3))</f>
        <v>0</v>
      </c>
      <c r="F3" t="str">
        <v>1</v>
      </c>
      <c r="G3" t="str">
        <v>2</v>
      </c>
      <c r="H3" t="str">
        <v>3</v>
      </c>
      <c r="I3" t="str">
        <v>4</v>
      </c>
      <c r="J3" t="str">
        <v>5</v>
      </c>
      <c r="K3" t="str">
        <v>6</v>
      </c>
      <c r="L3" t="str">
        <v>7</v>
      </c>
      <c r="M3" t="str">
        <v>8</v>
      </c>
      <c r="N3" t="str">
        <v>9</v>
      </c>
    </row>
    <row r="4" spans="2:14" x14ac:dyDescent="0.3">
      <c r="B4" t="s">
        <v>34</v>
      </c>
      <c r="D4" t="str" cm="1">
        <f t="array" ref="D4">_xll.RScript.Evaluate(B4)</f>
        <v>d_3</v>
      </c>
      <c r="E4" cm="1">
        <f t="array" ref="E4:N4">TRANSPOSE(_xll.RScript.Evaluate(D4))</f>
        <v>0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</row>
    <row r="6" spans="2:14" x14ac:dyDescent="0.3">
      <c r="B6" t="s">
        <v>35</v>
      </c>
      <c r="D6" t="str" cm="1">
        <f t="array" ref="D6">_xll.RScript.Evaluate(B6)</f>
        <v>OK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A668-8252-47F4-92C3-A09F0B36670F}">
  <dimension ref="B2:M14"/>
  <sheetViews>
    <sheetView workbookViewId="0">
      <selection activeCell="B14" sqref="B14"/>
    </sheetView>
  </sheetViews>
  <sheetFormatPr defaultRowHeight="14.4" x14ac:dyDescent="0.3"/>
  <cols>
    <col min="2" max="2" width="44.33203125" customWidth="1"/>
    <col min="4" max="4" width="11" customWidth="1"/>
  </cols>
  <sheetData>
    <row r="2" spans="2:13" ht="57.6" x14ac:dyDescent="0.3">
      <c r="B2" s="3" t="s">
        <v>36</v>
      </c>
      <c r="D2" t="str" cm="1">
        <f t="array" ref="D2">_xll.RScript.Evaluate(B2)</f>
        <v>state_4</v>
      </c>
    </row>
    <row r="3" spans="2:13" x14ac:dyDescent="0.3">
      <c r="B3" t="s">
        <v>37</v>
      </c>
      <c r="D3" t="str" cm="1">
        <f t="array" ref="D3">_xll.RScript.Evaluate(B3)</f>
        <v>statef_4</v>
      </c>
      <c r="F3" t="str" cm="1">
        <f t="array" ref="F3:M4">TRANSPOSE(_xll.RScript.Evaluate(D3))</f>
        <v>1</v>
      </c>
      <c r="G3" t="str">
        <v>2</v>
      </c>
      <c r="H3" t="str">
        <v>3</v>
      </c>
      <c r="I3" t="str">
        <v>4</v>
      </c>
      <c r="J3" t="str">
        <v>5</v>
      </c>
      <c r="K3" t="str">
        <v>6</v>
      </c>
      <c r="L3" t="str">
        <v>7</v>
      </c>
      <c r="M3" t="str">
        <v>8</v>
      </c>
    </row>
    <row r="4" spans="2:13" x14ac:dyDescent="0.3">
      <c r="F4" t="str">
        <v>act</v>
      </c>
      <c r="G4" t="str">
        <v>nsw</v>
      </c>
      <c r="H4" t="str">
        <v>nt</v>
      </c>
      <c r="I4" t="str">
        <v>qld</v>
      </c>
      <c r="J4" t="str">
        <v>sa</v>
      </c>
      <c r="K4" t="str">
        <v>tas</v>
      </c>
      <c r="L4" t="str">
        <v>vic</v>
      </c>
      <c r="M4" t="str">
        <v>wa</v>
      </c>
    </row>
    <row r="6" spans="2:13" x14ac:dyDescent="0.3">
      <c r="B6" t="s">
        <v>38</v>
      </c>
      <c r="D6" t="str" cm="1">
        <f t="array" ref="D6:K6">TRANSPOSE(_xll.RScript.Evaluate(B6))</f>
        <v>act</v>
      </c>
      <c r="E6" t="str">
        <v>nsw</v>
      </c>
      <c r="F6" t="str">
        <v>nt</v>
      </c>
      <c r="G6" t="str">
        <v>qld</v>
      </c>
      <c r="H6" t="str">
        <v>sa</v>
      </c>
      <c r="I6" t="str">
        <v>tas</v>
      </c>
      <c r="J6" t="str">
        <v>vic</v>
      </c>
      <c r="K6" t="str">
        <v>wa</v>
      </c>
    </row>
    <row r="8" spans="2:13" ht="43.2" x14ac:dyDescent="0.3">
      <c r="B8" s="3" t="s">
        <v>39</v>
      </c>
      <c r="D8" t="str" cm="1">
        <f t="array" ref="D8">_xll.RScript.Evaluate(B8)</f>
        <v>incomes_4</v>
      </c>
    </row>
    <row r="10" spans="2:13" x14ac:dyDescent="0.3">
      <c r="B10" t="s">
        <v>40</v>
      </c>
      <c r="D10" t="str" cm="1">
        <f t="array" ref="D10">_xll.RScript.Evaluate(B10)</f>
        <v>incmeans_4</v>
      </c>
      <c r="F10" cm="1">
        <f t="array" ref="F10:M10">TRANSPOSE(_xll.RScript.Evaluate(D10))</f>
        <v>44.5</v>
      </c>
      <c r="G10">
        <v>57.333333333333336</v>
      </c>
      <c r="H10">
        <v>55.5</v>
      </c>
      <c r="I10">
        <v>53.6</v>
      </c>
      <c r="J10">
        <v>55</v>
      </c>
      <c r="K10">
        <v>60.5</v>
      </c>
      <c r="L10">
        <v>56</v>
      </c>
      <c r="M10">
        <v>52.25</v>
      </c>
    </row>
    <row r="12" spans="2:13" x14ac:dyDescent="0.3">
      <c r="B12" t="s">
        <v>41</v>
      </c>
      <c r="D12" t="str" cm="1">
        <f t="array" ref="D12">_xll.RScript.Evaluate(B12)</f>
        <v>stderr</v>
      </c>
    </row>
    <row r="14" spans="2:13" x14ac:dyDescent="0.3">
      <c r="B14" t="s">
        <v>42</v>
      </c>
      <c r="D14" t="str" cm="1">
        <f t="array" ref="D14">_xll.RScript.Evaluate(B14)</f>
        <v>incster</v>
      </c>
      <c r="F14" cm="1">
        <f t="array" ref="F14:M14">TRANSPOSE(_xll.RScript.Evaluate(D14))</f>
        <v>1.5</v>
      </c>
      <c r="G14">
        <v>4.3101946333985639</v>
      </c>
      <c r="H14">
        <v>4.5</v>
      </c>
      <c r="I14">
        <v>4.1060930335295618</v>
      </c>
      <c r="J14">
        <v>2.7386127875258306</v>
      </c>
      <c r="K14">
        <v>0.5</v>
      </c>
      <c r="L14">
        <v>5.2440442408507577</v>
      </c>
      <c r="M14">
        <v>2.6575364531836625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3F1D-8081-42E0-9E9A-41B5621A8919}">
  <dimension ref="B2:CY120"/>
  <sheetViews>
    <sheetView workbookViewId="0">
      <selection activeCell="B2" sqref="B2"/>
    </sheetView>
  </sheetViews>
  <sheetFormatPr defaultRowHeight="14.4" x14ac:dyDescent="0.3"/>
  <cols>
    <col min="2" max="2" width="28.88671875" customWidth="1"/>
  </cols>
  <sheetData>
    <row r="2" spans="2:103" x14ac:dyDescent="0.3">
      <c r="B2" t="s">
        <v>44</v>
      </c>
      <c r="D2" t="str" cm="1">
        <f t="array" ref="D2">_xll.RScript.Evaluate(B2)</f>
        <v>z_5</v>
      </c>
    </row>
    <row r="3" spans="2:103" x14ac:dyDescent="0.3">
      <c r="B3" t="s">
        <v>43</v>
      </c>
      <c r="D3" t="str" cm="1">
        <f t="array" ref="D3">_xll.RScript.Evaluate(B3)</f>
        <v>dim(z_5)</v>
      </c>
    </row>
    <row r="4" spans="2:103" x14ac:dyDescent="0.3">
      <c r="B4" t="s">
        <v>45</v>
      </c>
      <c r="D4" cm="1">
        <f t="array" ref="D4">_xll.RScript.Evaluate(B4)</f>
        <v>53</v>
      </c>
    </row>
    <row r="6" spans="2:103" x14ac:dyDescent="0.3">
      <c r="B6" t="s">
        <v>47</v>
      </c>
      <c r="D6" cm="1">
        <f t="array" ref="D6:CY10">_xll.RScript.Evaluate(B6)</f>
        <v>1</v>
      </c>
      <c r="E6">
        <v>16</v>
      </c>
      <c r="F6">
        <v>31</v>
      </c>
      <c r="G6">
        <v>46</v>
      </c>
      <c r="H6">
        <v>61</v>
      </c>
      <c r="I6">
        <v>76</v>
      </c>
      <c r="J6">
        <v>91</v>
      </c>
      <c r="K6">
        <v>106</v>
      </c>
      <c r="L6">
        <v>121</v>
      </c>
      <c r="M6">
        <v>136</v>
      </c>
      <c r="N6">
        <v>151</v>
      </c>
      <c r="O6">
        <v>166</v>
      </c>
      <c r="P6">
        <v>181</v>
      </c>
      <c r="Q6">
        <v>196</v>
      </c>
      <c r="R6">
        <v>211</v>
      </c>
      <c r="S6">
        <v>226</v>
      </c>
      <c r="T6">
        <v>241</v>
      </c>
      <c r="U6">
        <v>256</v>
      </c>
      <c r="V6">
        <v>271</v>
      </c>
      <c r="W6">
        <v>286</v>
      </c>
      <c r="X6">
        <v>301</v>
      </c>
      <c r="Y6">
        <v>316</v>
      </c>
      <c r="Z6">
        <v>331</v>
      </c>
      <c r="AA6">
        <v>346</v>
      </c>
      <c r="AB6">
        <v>361</v>
      </c>
      <c r="AC6">
        <v>376</v>
      </c>
      <c r="AD6">
        <v>391</v>
      </c>
      <c r="AE6">
        <v>406</v>
      </c>
      <c r="AF6">
        <v>421</v>
      </c>
      <c r="AG6">
        <v>436</v>
      </c>
      <c r="AH6">
        <v>451</v>
      </c>
      <c r="AI6">
        <v>466</v>
      </c>
      <c r="AJ6">
        <v>481</v>
      </c>
      <c r="AK6">
        <v>496</v>
      </c>
      <c r="AL6">
        <v>511</v>
      </c>
      <c r="AM6">
        <v>526</v>
      </c>
      <c r="AN6">
        <v>541</v>
      </c>
      <c r="AO6">
        <v>556</v>
      </c>
      <c r="AP6">
        <v>571</v>
      </c>
      <c r="AQ6">
        <v>586</v>
      </c>
      <c r="AR6">
        <v>601</v>
      </c>
      <c r="AS6">
        <v>616</v>
      </c>
      <c r="AT6">
        <v>631</v>
      </c>
      <c r="AU6">
        <v>646</v>
      </c>
      <c r="AV6">
        <v>661</v>
      </c>
      <c r="AW6">
        <v>676</v>
      </c>
      <c r="AX6">
        <v>691</v>
      </c>
      <c r="AY6">
        <v>706</v>
      </c>
      <c r="AZ6">
        <v>721</v>
      </c>
      <c r="BA6">
        <v>736</v>
      </c>
      <c r="BB6">
        <v>751</v>
      </c>
      <c r="BC6">
        <v>766</v>
      </c>
      <c r="BD6">
        <v>781</v>
      </c>
      <c r="BE6">
        <v>796</v>
      </c>
      <c r="BF6">
        <v>811</v>
      </c>
      <c r="BG6">
        <v>826</v>
      </c>
      <c r="BH6">
        <v>841</v>
      </c>
      <c r="BI6">
        <v>856</v>
      </c>
      <c r="BJ6">
        <v>871</v>
      </c>
      <c r="BK6">
        <v>886</v>
      </c>
      <c r="BL6">
        <v>901</v>
      </c>
      <c r="BM6">
        <v>916</v>
      </c>
      <c r="BN6">
        <v>931</v>
      </c>
      <c r="BO6">
        <v>946</v>
      </c>
      <c r="BP6">
        <v>961</v>
      </c>
      <c r="BQ6">
        <v>976</v>
      </c>
      <c r="BR6">
        <v>991</v>
      </c>
      <c r="BS6">
        <v>1006</v>
      </c>
      <c r="BT6">
        <v>1021</v>
      </c>
      <c r="BU6">
        <v>1036</v>
      </c>
      <c r="BV6">
        <v>1051</v>
      </c>
      <c r="BW6">
        <v>1066</v>
      </c>
      <c r="BX6">
        <v>1081</v>
      </c>
      <c r="BY6">
        <v>1096</v>
      </c>
      <c r="BZ6">
        <v>1111</v>
      </c>
      <c r="CA6">
        <v>1126</v>
      </c>
      <c r="CB6">
        <v>1141</v>
      </c>
      <c r="CC6">
        <v>1156</v>
      </c>
      <c r="CD6">
        <v>1171</v>
      </c>
      <c r="CE6">
        <v>1186</v>
      </c>
      <c r="CF6">
        <v>1201</v>
      </c>
      <c r="CG6">
        <v>1216</v>
      </c>
      <c r="CH6">
        <v>1231</v>
      </c>
      <c r="CI6">
        <v>1246</v>
      </c>
      <c r="CJ6">
        <v>1261</v>
      </c>
      <c r="CK6">
        <v>1276</v>
      </c>
      <c r="CL6">
        <v>1291</v>
      </c>
      <c r="CM6">
        <v>1306</v>
      </c>
      <c r="CN6">
        <v>1321</v>
      </c>
      <c r="CO6">
        <v>1336</v>
      </c>
      <c r="CP6">
        <v>1351</v>
      </c>
      <c r="CQ6">
        <v>1366</v>
      </c>
      <c r="CR6">
        <v>1381</v>
      </c>
      <c r="CS6">
        <v>1396</v>
      </c>
      <c r="CT6">
        <v>1411</v>
      </c>
      <c r="CU6">
        <v>1426</v>
      </c>
      <c r="CV6">
        <v>1441</v>
      </c>
      <c r="CW6">
        <v>1456</v>
      </c>
      <c r="CX6">
        <v>1471</v>
      </c>
      <c r="CY6">
        <v>1486</v>
      </c>
    </row>
    <row r="7" spans="2:103" x14ac:dyDescent="0.3">
      <c r="D7">
        <v>4</v>
      </c>
      <c r="E7">
        <v>19</v>
      </c>
      <c r="F7">
        <v>34</v>
      </c>
      <c r="G7">
        <v>49</v>
      </c>
      <c r="H7">
        <v>64</v>
      </c>
      <c r="I7">
        <v>79</v>
      </c>
      <c r="J7">
        <v>94</v>
      </c>
      <c r="K7">
        <v>109</v>
      </c>
      <c r="L7">
        <v>124</v>
      </c>
      <c r="M7">
        <v>139</v>
      </c>
      <c r="N7">
        <v>154</v>
      </c>
      <c r="O7">
        <v>169</v>
      </c>
      <c r="P7">
        <v>184</v>
      </c>
      <c r="Q7">
        <v>199</v>
      </c>
      <c r="R7">
        <v>214</v>
      </c>
      <c r="S7">
        <v>229</v>
      </c>
      <c r="T7">
        <v>244</v>
      </c>
      <c r="U7">
        <v>259</v>
      </c>
      <c r="V7">
        <v>274</v>
      </c>
      <c r="W7">
        <v>289</v>
      </c>
      <c r="X7">
        <v>304</v>
      </c>
      <c r="Y7">
        <v>319</v>
      </c>
      <c r="Z7">
        <v>334</v>
      </c>
      <c r="AA7">
        <v>349</v>
      </c>
      <c r="AB7">
        <v>364</v>
      </c>
      <c r="AC7">
        <v>379</v>
      </c>
      <c r="AD7">
        <v>394</v>
      </c>
      <c r="AE7">
        <v>409</v>
      </c>
      <c r="AF7">
        <v>424</v>
      </c>
      <c r="AG7">
        <v>439</v>
      </c>
      <c r="AH7">
        <v>454</v>
      </c>
      <c r="AI7">
        <v>469</v>
      </c>
      <c r="AJ7">
        <v>484</v>
      </c>
      <c r="AK7">
        <v>499</v>
      </c>
      <c r="AL7">
        <v>514</v>
      </c>
      <c r="AM7">
        <v>529</v>
      </c>
      <c r="AN7">
        <v>544</v>
      </c>
      <c r="AO7">
        <v>559</v>
      </c>
      <c r="AP7">
        <v>574</v>
      </c>
      <c r="AQ7">
        <v>589</v>
      </c>
      <c r="AR7">
        <v>604</v>
      </c>
      <c r="AS7">
        <v>619</v>
      </c>
      <c r="AT7">
        <v>634</v>
      </c>
      <c r="AU7">
        <v>649</v>
      </c>
      <c r="AV7">
        <v>664</v>
      </c>
      <c r="AW7">
        <v>679</v>
      </c>
      <c r="AX7">
        <v>694</v>
      </c>
      <c r="AY7">
        <v>709</v>
      </c>
      <c r="AZ7">
        <v>724</v>
      </c>
      <c r="BA7">
        <v>739</v>
      </c>
      <c r="BB7">
        <v>754</v>
      </c>
      <c r="BC7">
        <v>769</v>
      </c>
      <c r="BD7">
        <v>784</v>
      </c>
      <c r="BE7">
        <v>799</v>
      </c>
      <c r="BF7">
        <v>814</v>
      </c>
      <c r="BG7">
        <v>829</v>
      </c>
      <c r="BH7">
        <v>844</v>
      </c>
      <c r="BI7">
        <v>859</v>
      </c>
      <c r="BJ7">
        <v>874</v>
      </c>
      <c r="BK7">
        <v>889</v>
      </c>
      <c r="BL7">
        <v>904</v>
      </c>
      <c r="BM7">
        <v>919</v>
      </c>
      <c r="BN7">
        <v>934</v>
      </c>
      <c r="BO7">
        <v>949</v>
      </c>
      <c r="BP7">
        <v>964</v>
      </c>
      <c r="BQ7">
        <v>979</v>
      </c>
      <c r="BR7">
        <v>994</v>
      </c>
      <c r="BS7">
        <v>1009</v>
      </c>
      <c r="BT7">
        <v>1024</v>
      </c>
      <c r="BU7">
        <v>1039</v>
      </c>
      <c r="BV7">
        <v>1054</v>
      </c>
      <c r="BW7">
        <v>1069</v>
      </c>
      <c r="BX7">
        <v>1084</v>
      </c>
      <c r="BY7">
        <v>1099</v>
      </c>
      <c r="BZ7">
        <v>1114</v>
      </c>
      <c r="CA7">
        <v>1129</v>
      </c>
      <c r="CB7">
        <v>1144</v>
      </c>
      <c r="CC7">
        <v>1159</v>
      </c>
      <c r="CD7">
        <v>1174</v>
      </c>
      <c r="CE7">
        <v>1189</v>
      </c>
      <c r="CF7">
        <v>1204</v>
      </c>
      <c r="CG7">
        <v>1219</v>
      </c>
      <c r="CH7">
        <v>1234</v>
      </c>
      <c r="CI7">
        <v>1249</v>
      </c>
      <c r="CJ7">
        <v>1264</v>
      </c>
      <c r="CK7">
        <v>1279</v>
      </c>
      <c r="CL7">
        <v>1294</v>
      </c>
      <c r="CM7">
        <v>1309</v>
      </c>
      <c r="CN7">
        <v>1324</v>
      </c>
      <c r="CO7">
        <v>1339</v>
      </c>
      <c r="CP7">
        <v>1354</v>
      </c>
      <c r="CQ7">
        <v>1369</v>
      </c>
      <c r="CR7">
        <v>1384</v>
      </c>
      <c r="CS7">
        <v>1399</v>
      </c>
      <c r="CT7">
        <v>1414</v>
      </c>
      <c r="CU7">
        <v>1429</v>
      </c>
      <c r="CV7">
        <v>1444</v>
      </c>
      <c r="CW7">
        <v>1459</v>
      </c>
      <c r="CX7">
        <v>1474</v>
      </c>
      <c r="CY7">
        <v>1489</v>
      </c>
    </row>
    <row r="8" spans="2:103" x14ac:dyDescent="0.3">
      <c r="D8">
        <v>7</v>
      </c>
      <c r="E8">
        <v>22</v>
      </c>
      <c r="F8">
        <v>37</v>
      </c>
      <c r="G8">
        <v>52</v>
      </c>
      <c r="H8">
        <v>67</v>
      </c>
      <c r="I8">
        <v>82</v>
      </c>
      <c r="J8">
        <v>97</v>
      </c>
      <c r="K8">
        <v>112</v>
      </c>
      <c r="L8">
        <v>127</v>
      </c>
      <c r="M8">
        <v>142</v>
      </c>
      <c r="N8">
        <v>157</v>
      </c>
      <c r="O8">
        <v>172</v>
      </c>
      <c r="P8">
        <v>187</v>
      </c>
      <c r="Q8">
        <v>202</v>
      </c>
      <c r="R8">
        <v>217</v>
      </c>
      <c r="S8">
        <v>232</v>
      </c>
      <c r="T8">
        <v>247</v>
      </c>
      <c r="U8">
        <v>262</v>
      </c>
      <c r="V8">
        <v>277</v>
      </c>
      <c r="W8">
        <v>292</v>
      </c>
      <c r="X8">
        <v>307</v>
      </c>
      <c r="Y8">
        <v>322</v>
      </c>
      <c r="Z8">
        <v>337</v>
      </c>
      <c r="AA8">
        <v>352</v>
      </c>
      <c r="AB8">
        <v>367</v>
      </c>
      <c r="AC8">
        <v>382</v>
      </c>
      <c r="AD8">
        <v>397</v>
      </c>
      <c r="AE8">
        <v>412</v>
      </c>
      <c r="AF8">
        <v>427</v>
      </c>
      <c r="AG8">
        <v>442</v>
      </c>
      <c r="AH8">
        <v>457</v>
      </c>
      <c r="AI8">
        <v>472</v>
      </c>
      <c r="AJ8">
        <v>487</v>
      </c>
      <c r="AK8">
        <v>502</v>
      </c>
      <c r="AL8">
        <v>517</v>
      </c>
      <c r="AM8">
        <v>532</v>
      </c>
      <c r="AN8">
        <v>547</v>
      </c>
      <c r="AO8">
        <v>562</v>
      </c>
      <c r="AP8">
        <v>577</v>
      </c>
      <c r="AQ8">
        <v>592</v>
      </c>
      <c r="AR8">
        <v>607</v>
      </c>
      <c r="AS8">
        <v>622</v>
      </c>
      <c r="AT8">
        <v>637</v>
      </c>
      <c r="AU8">
        <v>652</v>
      </c>
      <c r="AV8">
        <v>667</v>
      </c>
      <c r="AW8">
        <v>682</v>
      </c>
      <c r="AX8">
        <v>697</v>
      </c>
      <c r="AY8">
        <v>712</v>
      </c>
      <c r="AZ8">
        <v>727</v>
      </c>
      <c r="BA8">
        <v>742</v>
      </c>
      <c r="BB8">
        <v>757</v>
      </c>
      <c r="BC8">
        <v>772</v>
      </c>
      <c r="BD8">
        <v>787</v>
      </c>
      <c r="BE8">
        <v>802</v>
      </c>
      <c r="BF8">
        <v>817</v>
      </c>
      <c r="BG8">
        <v>832</v>
      </c>
      <c r="BH8">
        <v>847</v>
      </c>
      <c r="BI8">
        <v>862</v>
      </c>
      <c r="BJ8">
        <v>877</v>
      </c>
      <c r="BK8">
        <v>892</v>
      </c>
      <c r="BL8">
        <v>907</v>
      </c>
      <c r="BM8">
        <v>922</v>
      </c>
      <c r="BN8">
        <v>937</v>
      </c>
      <c r="BO8">
        <v>952</v>
      </c>
      <c r="BP8">
        <v>967</v>
      </c>
      <c r="BQ8">
        <v>982</v>
      </c>
      <c r="BR8">
        <v>997</v>
      </c>
      <c r="BS8">
        <v>1012</v>
      </c>
      <c r="BT8">
        <v>1027</v>
      </c>
      <c r="BU8">
        <v>1042</v>
      </c>
      <c r="BV8">
        <v>1057</v>
      </c>
      <c r="BW8">
        <v>1072</v>
      </c>
      <c r="BX8">
        <v>1087</v>
      </c>
      <c r="BY8">
        <v>1102</v>
      </c>
      <c r="BZ8">
        <v>1117</v>
      </c>
      <c r="CA8">
        <v>1132</v>
      </c>
      <c r="CB8">
        <v>1147</v>
      </c>
      <c r="CC8">
        <v>1162</v>
      </c>
      <c r="CD8">
        <v>1177</v>
      </c>
      <c r="CE8">
        <v>1192</v>
      </c>
      <c r="CF8">
        <v>1207</v>
      </c>
      <c r="CG8">
        <v>1222</v>
      </c>
      <c r="CH8">
        <v>1237</v>
      </c>
      <c r="CI8">
        <v>1252</v>
      </c>
      <c r="CJ8">
        <v>1267</v>
      </c>
      <c r="CK8">
        <v>1282</v>
      </c>
      <c r="CL8">
        <v>1297</v>
      </c>
      <c r="CM8">
        <v>1312</v>
      </c>
      <c r="CN8">
        <v>1327</v>
      </c>
      <c r="CO8">
        <v>1342</v>
      </c>
      <c r="CP8">
        <v>1357</v>
      </c>
      <c r="CQ8">
        <v>1372</v>
      </c>
      <c r="CR8">
        <v>1387</v>
      </c>
      <c r="CS8">
        <v>1402</v>
      </c>
      <c r="CT8">
        <v>1417</v>
      </c>
      <c r="CU8">
        <v>1432</v>
      </c>
      <c r="CV8">
        <v>1447</v>
      </c>
      <c r="CW8">
        <v>1462</v>
      </c>
      <c r="CX8">
        <v>1477</v>
      </c>
      <c r="CY8">
        <v>1492</v>
      </c>
    </row>
    <row r="9" spans="2:103" x14ac:dyDescent="0.3">
      <c r="D9">
        <v>10</v>
      </c>
      <c r="E9">
        <v>25</v>
      </c>
      <c r="F9">
        <v>40</v>
      </c>
      <c r="G9">
        <v>55</v>
      </c>
      <c r="H9">
        <v>70</v>
      </c>
      <c r="I9">
        <v>85</v>
      </c>
      <c r="J9">
        <v>100</v>
      </c>
      <c r="K9">
        <v>115</v>
      </c>
      <c r="L9">
        <v>130</v>
      </c>
      <c r="M9">
        <v>145</v>
      </c>
      <c r="N9">
        <v>160</v>
      </c>
      <c r="O9">
        <v>175</v>
      </c>
      <c r="P9">
        <v>190</v>
      </c>
      <c r="Q9">
        <v>205</v>
      </c>
      <c r="R9">
        <v>220</v>
      </c>
      <c r="S9">
        <v>235</v>
      </c>
      <c r="T9">
        <v>250</v>
      </c>
      <c r="U9">
        <v>265</v>
      </c>
      <c r="V9">
        <v>280</v>
      </c>
      <c r="W9">
        <v>295</v>
      </c>
      <c r="X9">
        <v>310</v>
      </c>
      <c r="Y9">
        <v>325</v>
      </c>
      <c r="Z9">
        <v>340</v>
      </c>
      <c r="AA9">
        <v>355</v>
      </c>
      <c r="AB9">
        <v>370</v>
      </c>
      <c r="AC9">
        <v>385</v>
      </c>
      <c r="AD9">
        <v>400</v>
      </c>
      <c r="AE9">
        <v>415</v>
      </c>
      <c r="AF9">
        <v>430</v>
      </c>
      <c r="AG9">
        <v>445</v>
      </c>
      <c r="AH9">
        <v>460</v>
      </c>
      <c r="AI9">
        <v>475</v>
      </c>
      <c r="AJ9">
        <v>490</v>
      </c>
      <c r="AK9">
        <v>505</v>
      </c>
      <c r="AL9">
        <v>520</v>
      </c>
      <c r="AM9">
        <v>535</v>
      </c>
      <c r="AN9">
        <v>550</v>
      </c>
      <c r="AO9">
        <v>565</v>
      </c>
      <c r="AP9">
        <v>580</v>
      </c>
      <c r="AQ9">
        <v>595</v>
      </c>
      <c r="AR9">
        <v>610</v>
      </c>
      <c r="AS9">
        <v>625</v>
      </c>
      <c r="AT9">
        <v>640</v>
      </c>
      <c r="AU9">
        <v>655</v>
      </c>
      <c r="AV9">
        <v>670</v>
      </c>
      <c r="AW9">
        <v>685</v>
      </c>
      <c r="AX9">
        <v>700</v>
      </c>
      <c r="AY9">
        <v>715</v>
      </c>
      <c r="AZ9">
        <v>730</v>
      </c>
      <c r="BA9">
        <v>745</v>
      </c>
      <c r="BB9">
        <v>760</v>
      </c>
      <c r="BC9">
        <v>775</v>
      </c>
      <c r="BD9">
        <v>790</v>
      </c>
      <c r="BE9">
        <v>805</v>
      </c>
      <c r="BF9">
        <v>820</v>
      </c>
      <c r="BG9">
        <v>835</v>
      </c>
      <c r="BH9">
        <v>850</v>
      </c>
      <c r="BI9">
        <v>865</v>
      </c>
      <c r="BJ9">
        <v>880</v>
      </c>
      <c r="BK9">
        <v>895</v>
      </c>
      <c r="BL9">
        <v>910</v>
      </c>
      <c r="BM9">
        <v>925</v>
      </c>
      <c r="BN9">
        <v>940</v>
      </c>
      <c r="BO9">
        <v>955</v>
      </c>
      <c r="BP9">
        <v>970</v>
      </c>
      <c r="BQ9">
        <v>985</v>
      </c>
      <c r="BR9">
        <v>1000</v>
      </c>
      <c r="BS9">
        <v>1015</v>
      </c>
      <c r="BT9">
        <v>1030</v>
      </c>
      <c r="BU9">
        <v>1045</v>
      </c>
      <c r="BV9">
        <v>1060</v>
      </c>
      <c r="BW9">
        <v>1075</v>
      </c>
      <c r="BX9">
        <v>1090</v>
      </c>
      <c r="BY9">
        <v>1105</v>
      </c>
      <c r="BZ9">
        <v>1120</v>
      </c>
      <c r="CA9">
        <v>1135</v>
      </c>
      <c r="CB9">
        <v>1150</v>
      </c>
      <c r="CC9">
        <v>1165</v>
      </c>
      <c r="CD9">
        <v>1180</v>
      </c>
      <c r="CE9">
        <v>1195</v>
      </c>
      <c r="CF9">
        <v>1210</v>
      </c>
      <c r="CG9">
        <v>1225</v>
      </c>
      <c r="CH9">
        <v>1240</v>
      </c>
      <c r="CI9">
        <v>1255</v>
      </c>
      <c r="CJ9">
        <v>1270</v>
      </c>
      <c r="CK9">
        <v>1285</v>
      </c>
      <c r="CL9">
        <v>1300</v>
      </c>
      <c r="CM9">
        <v>1315</v>
      </c>
      <c r="CN9">
        <v>1330</v>
      </c>
      <c r="CO9">
        <v>1345</v>
      </c>
      <c r="CP9">
        <v>1360</v>
      </c>
      <c r="CQ9">
        <v>1375</v>
      </c>
      <c r="CR9">
        <v>1390</v>
      </c>
      <c r="CS9">
        <v>1405</v>
      </c>
      <c r="CT9">
        <v>1420</v>
      </c>
      <c r="CU9">
        <v>1435</v>
      </c>
      <c r="CV9">
        <v>1450</v>
      </c>
      <c r="CW9">
        <v>1465</v>
      </c>
      <c r="CX9">
        <v>1480</v>
      </c>
      <c r="CY9">
        <v>1495</v>
      </c>
    </row>
    <row r="10" spans="2:103" x14ac:dyDescent="0.3">
      <c r="D10">
        <v>13</v>
      </c>
      <c r="E10">
        <v>28</v>
      </c>
      <c r="F10">
        <v>43</v>
      </c>
      <c r="G10">
        <v>58</v>
      </c>
      <c r="H10">
        <v>73</v>
      </c>
      <c r="I10">
        <v>88</v>
      </c>
      <c r="J10">
        <v>103</v>
      </c>
      <c r="K10">
        <v>118</v>
      </c>
      <c r="L10">
        <v>133</v>
      </c>
      <c r="M10">
        <v>148</v>
      </c>
      <c r="N10">
        <v>163</v>
      </c>
      <c r="O10">
        <v>178</v>
      </c>
      <c r="P10">
        <v>193</v>
      </c>
      <c r="Q10">
        <v>208</v>
      </c>
      <c r="R10">
        <v>223</v>
      </c>
      <c r="S10">
        <v>238</v>
      </c>
      <c r="T10">
        <v>253</v>
      </c>
      <c r="U10">
        <v>268</v>
      </c>
      <c r="V10">
        <v>283</v>
      </c>
      <c r="W10">
        <v>298</v>
      </c>
      <c r="X10">
        <v>313</v>
      </c>
      <c r="Y10">
        <v>328</v>
      </c>
      <c r="Z10">
        <v>343</v>
      </c>
      <c r="AA10">
        <v>358</v>
      </c>
      <c r="AB10">
        <v>373</v>
      </c>
      <c r="AC10">
        <v>388</v>
      </c>
      <c r="AD10">
        <v>403</v>
      </c>
      <c r="AE10">
        <v>418</v>
      </c>
      <c r="AF10">
        <v>433</v>
      </c>
      <c r="AG10">
        <v>448</v>
      </c>
      <c r="AH10">
        <v>463</v>
      </c>
      <c r="AI10">
        <v>478</v>
      </c>
      <c r="AJ10">
        <v>493</v>
      </c>
      <c r="AK10">
        <v>508</v>
      </c>
      <c r="AL10">
        <v>523</v>
      </c>
      <c r="AM10">
        <v>538</v>
      </c>
      <c r="AN10">
        <v>553</v>
      </c>
      <c r="AO10">
        <v>568</v>
      </c>
      <c r="AP10">
        <v>583</v>
      </c>
      <c r="AQ10">
        <v>598</v>
      </c>
      <c r="AR10">
        <v>613</v>
      </c>
      <c r="AS10">
        <v>628</v>
      </c>
      <c r="AT10">
        <v>643</v>
      </c>
      <c r="AU10">
        <v>658</v>
      </c>
      <c r="AV10">
        <v>673</v>
      </c>
      <c r="AW10">
        <v>688</v>
      </c>
      <c r="AX10">
        <v>703</v>
      </c>
      <c r="AY10">
        <v>718</v>
      </c>
      <c r="AZ10">
        <v>733</v>
      </c>
      <c r="BA10">
        <v>748</v>
      </c>
      <c r="BB10">
        <v>763</v>
      </c>
      <c r="BC10">
        <v>778</v>
      </c>
      <c r="BD10">
        <v>793</v>
      </c>
      <c r="BE10">
        <v>808</v>
      </c>
      <c r="BF10">
        <v>823</v>
      </c>
      <c r="BG10">
        <v>838</v>
      </c>
      <c r="BH10">
        <v>853</v>
      </c>
      <c r="BI10">
        <v>868</v>
      </c>
      <c r="BJ10">
        <v>883</v>
      </c>
      <c r="BK10">
        <v>898</v>
      </c>
      <c r="BL10">
        <v>913</v>
      </c>
      <c r="BM10">
        <v>928</v>
      </c>
      <c r="BN10">
        <v>943</v>
      </c>
      <c r="BO10">
        <v>958</v>
      </c>
      <c r="BP10">
        <v>973</v>
      </c>
      <c r="BQ10">
        <v>988</v>
      </c>
      <c r="BR10">
        <v>1003</v>
      </c>
      <c r="BS10">
        <v>1018</v>
      </c>
      <c r="BT10">
        <v>1033</v>
      </c>
      <c r="BU10">
        <v>1048</v>
      </c>
      <c r="BV10">
        <v>1063</v>
      </c>
      <c r="BW10">
        <v>1078</v>
      </c>
      <c r="BX10">
        <v>1093</v>
      </c>
      <c r="BY10">
        <v>1108</v>
      </c>
      <c r="BZ10">
        <v>1123</v>
      </c>
      <c r="CA10">
        <v>1138</v>
      </c>
      <c r="CB10">
        <v>1153</v>
      </c>
      <c r="CC10">
        <v>1168</v>
      </c>
      <c r="CD10">
        <v>1183</v>
      </c>
      <c r="CE10">
        <v>1198</v>
      </c>
      <c r="CF10">
        <v>1213</v>
      </c>
      <c r="CG10">
        <v>1228</v>
      </c>
      <c r="CH10">
        <v>1243</v>
      </c>
      <c r="CI10">
        <v>1258</v>
      </c>
      <c r="CJ10">
        <v>1273</v>
      </c>
      <c r="CK10">
        <v>1288</v>
      </c>
      <c r="CL10">
        <v>1303</v>
      </c>
      <c r="CM10">
        <v>1318</v>
      </c>
      <c r="CN10">
        <v>1333</v>
      </c>
      <c r="CO10">
        <v>1348</v>
      </c>
      <c r="CP10">
        <v>1363</v>
      </c>
      <c r="CQ10">
        <v>1378</v>
      </c>
      <c r="CR10">
        <v>1393</v>
      </c>
      <c r="CS10">
        <v>1408</v>
      </c>
      <c r="CT10">
        <v>1423</v>
      </c>
      <c r="CU10">
        <v>1438</v>
      </c>
      <c r="CV10">
        <v>1453</v>
      </c>
      <c r="CW10">
        <v>1468</v>
      </c>
      <c r="CX10">
        <v>1483</v>
      </c>
      <c r="CY10">
        <v>1498</v>
      </c>
    </row>
    <row r="12" spans="2:103" x14ac:dyDescent="0.3">
      <c r="B12" t="s">
        <v>46</v>
      </c>
      <c r="D12" cm="1">
        <f t="array" ref="D12:CY14">_xll.RScript.Evaluate(B12)</f>
        <v>1</v>
      </c>
      <c r="E12">
        <v>16</v>
      </c>
      <c r="F12">
        <v>31</v>
      </c>
      <c r="G12">
        <v>46</v>
      </c>
      <c r="H12">
        <v>61</v>
      </c>
      <c r="I12">
        <v>76</v>
      </c>
      <c r="J12">
        <v>91</v>
      </c>
      <c r="K12">
        <v>106</v>
      </c>
      <c r="L12">
        <v>121</v>
      </c>
      <c r="M12">
        <v>136</v>
      </c>
      <c r="N12">
        <v>151</v>
      </c>
      <c r="O12">
        <v>166</v>
      </c>
      <c r="P12">
        <v>181</v>
      </c>
      <c r="Q12">
        <v>196</v>
      </c>
      <c r="R12">
        <v>211</v>
      </c>
      <c r="S12">
        <v>226</v>
      </c>
      <c r="T12">
        <v>241</v>
      </c>
      <c r="U12">
        <v>256</v>
      </c>
      <c r="V12">
        <v>271</v>
      </c>
      <c r="W12">
        <v>286</v>
      </c>
      <c r="X12">
        <v>301</v>
      </c>
      <c r="Y12">
        <v>316</v>
      </c>
      <c r="Z12">
        <v>331</v>
      </c>
      <c r="AA12">
        <v>346</v>
      </c>
      <c r="AB12">
        <v>361</v>
      </c>
      <c r="AC12">
        <v>376</v>
      </c>
      <c r="AD12">
        <v>391</v>
      </c>
      <c r="AE12">
        <v>406</v>
      </c>
      <c r="AF12">
        <v>421</v>
      </c>
      <c r="AG12">
        <v>436</v>
      </c>
      <c r="AH12">
        <v>451</v>
      </c>
      <c r="AI12">
        <v>466</v>
      </c>
      <c r="AJ12">
        <v>481</v>
      </c>
      <c r="AK12">
        <v>496</v>
      </c>
      <c r="AL12">
        <v>511</v>
      </c>
      <c r="AM12">
        <v>526</v>
      </c>
      <c r="AN12">
        <v>541</v>
      </c>
      <c r="AO12">
        <v>556</v>
      </c>
      <c r="AP12">
        <v>571</v>
      </c>
      <c r="AQ12">
        <v>586</v>
      </c>
      <c r="AR12">
        <v>601</v>
      </c>
      <c r="AS12">
        <v>616</v>
      </c>
      <c r="AT12">
        <v>631</v>
      </c>
      <c r="AU12">
        <v>646</v>
      </c>
      <c r="AV12">
        <v>661</v>
      </c>
      <c r="AW12">
        <v>676</v>
      </c>
      <c r="AX12">
        <v>691</v>
      </c>
      <c r="AY12">
        <v>706</v>
      </c>
      <c r="AZ12">
        <v>721</v>
      </c>
      <c r="BA12">
        <v>736</v>
      </c>
      <c r="BB12">
        <v>751</v>
      </c>
      <c r="BC12">
        <v>766</v>
      </c>
      <c r="BD12">
        <v>781</v>
      </c>
      <c r="BE12">
        <v>796</v>
      </c>
      <c r="BF12">
        <v>811</v>
      </c>
      <c r="BG12">
        <v>826</v>
      </c>
      <c r="BH12">
        <v>841</v>
      </c>
      <c r="BI12">
        <v>856</v>
      </c>
      <c r="BJ12">
        <v>871</v>
      </c>
      <c r="BK12">
        <v>886</v>
      </c>
      <c r="BL12">
        <v>901</v>
      </c>
      <c r="BM12">
        <v>916</v>
      </c>
      <c r="BN12">
        <v>931</v>
      </c>
      <c r="BO12">
        <v>946</v>
      </c>
      <c r="BP12">
        <v>961</v>
      </c>
      <c r="BQ12">
        <v>976</v>
      </c>
      <c r="BR12">
        <v>991</v>
      </c>
      <c r="BS12">
        <v>1006</v>
      </c>
      <c r="BT12">
        <v>1021</v>
      </c>
      <c r="BU12">
        <v>1036</v>
      </c>
      <c r="BV12">
        <v>1051</v>
      </c>
      <c r="BW12">
        <v>1066</v>
      </c>
      <c r="BX12">
        <v>1081</v>
      </c>
      <c r="BY12">
        <v>1096</v>
      </c>
      <c r="BZ12">
        <v>1111</v>
      </c>
      <c r="CA12">
        <v>1126</v>
      </c>
      <c r="CB12">
        <v>1141</v>
      </c>
      <c r="CC12">
        <v>1156</v>
      </c>
      <c r="CD12">
        <v>1171</v>
      </c>
      <c r="CE12">
        <v>1186</v>
      </c>
      <c r="CF12">
        <v>1201</v>
      </c>
      <c r="CG12">
        <v>1216</v>
      </c>
      <c r="CH12">
        <v>1231</v>
      </c>
      <c r="CI12">
        <v>1246</v>
      </c>
      <c r="CJ12">
        <v>1261</v>
      </c>
      <c r="CK12">
        <v>1276</v>
      </c>
      <c r="CL12">
        <v>1291</v>
      </c>
      <c r="CM12">
        <v>1306</v>
      </c>
      <c r="CN12">
        <v>1321</v>
      </c>
      <c r="CO12">
        <v>1336</v>
      </c>
      <c r="CP12">
        <v>1351</v>
      </c>
      <c r="CQ12">
        <v>1366</v>
      </c>
      <c r="CR12">
        <v>1381</v>
      </c>
      <c r="CS12">
        <v>1396</v>
      </c>
      <c r="CT12">
        <v>1411</v>
      </c>
      <c r="CU12">
        <v>1426</v>
      </c>
      <c r="CV12">
        <v>1441</v>
      </c>
      <c r="CW12">
        <v>1456</v>
      </c>
      <c r="CX12">
        <v>1471</v>
      </c>
      <c r="CY12">
        <v>1486</v>
      </c>
    </row>
    <row r="13" spans="2:103" x14ac:dyDescent="0.3">
      <c r="D13">
        <v>2</v>
      </c>
      <c r="E13">
        <v>17</v>
      </c>
      <c r="F13">
        <v>32</v>
      </c>
      <c r="G13">
        <v>47</v>
      </c>
      <c r="H13">
        <v>62</v>
      </c>
      <c r="I13">
        <v>77</v>
      </c>
      <c r="J13">
        <v>92</v>
      </c>
      <c r="K13">
        <v>107</v>
      </c>
      <c r="L13">
        <v>122</v>
      </c>
      <c r="M13">
        <v>137</v>
      </c>
      <c r="N13">
        <v>152</v>
      </c>
      <c r="O13">
        <v>167</v>
      </c>
      <c r="P13">
        <v>182</v>
      </c>
      <c r="Q13">
        <v>197</v>
      </c>
      <c r="R13">
        <v>212</v>
      </c>
      <c r="S13">
        <v>227</v>
      </c>
      <c r="T13">
        <v>242</v>
      </c>
      <c r="U13">
        <v>257</v>
      </c>
      <c r="V13">
        <v>272</v>
      </c>
      <c r="W13">
        <v>287</v>
      </c>
      <c r="X13">
        <v>302</v>
      </c>
      <c r="Y13">
        <v>317</v>
      </c>
      <c r="Z13">
        <v>332</v>
      </c>
      <c r="AA13">
        <v>347</v>
      </c>
      <c r="AB13">
        <v>362</v>
      </c>
      <c r="AC13">
        <v>377</v>
      </c>
      <c r="AD13">
        <v>392</v>
      </c>
      <c r="AE13">
        <v>407</v>
      </c>
      <c r="AF13">
        <v>422</v>
      </c>
      <c r="AG13">
        <v>437</v>
      </c>
      <c r="AH13">
        <v>452</v>
      </c>
      <c r="AI13">
        <v>467</v>
      </c>
      <c r="AJ13">
        <v>482</v>
      </c>
      <c r="AK13">
        <v>497</v>
      </c>
      <c r="AL13">
        <v>512</v>
      </c>
      <c r="AM13">
        <v>527</v>
      </c>
      <c r="AN13">
        <v>542</v>
      </c>
      <c r="AO13">
        <v>557</v>
      </c>
      <c r="AP13">
        <v>572</v>
      </c>
      <c r="AQ13">
        <v>587</v>
      </c>
      <c r="AR13">
        <v>602</v>
      </c>
      <c r="AS13">
        <v>617</v>
      </c>
      <c r="AT13">
        <v>632</v>
      </c>
      <c r="AU13">
        <v>647</v>
      </c>
      <c r="AV13">
        <v>662</v>
      </c>
      <c r="AW13">
        <v>677</v>
      </c>
      <c r="AX13">
        <v>692</v>
      </c>
      <c r="AY13">
        <v>707</v>
      </c>
      <c r="AZ13">
        <v>722</v>
      </c>
      <c r="BA13">
        <v>737</v>
      </c>
      <c r="BB13">
        <v>752</v>
      </c>
      <c r="BC13">
        <v>767</v>
      </c>
      <c r="BD13">
        <v>782</v>
      </c>
      <c r="BE13">
        <v>797</v>
      </c>
      <c r="BF13">
        <v>812</v>
      </c>
      <c r="BG13">
        <v>827</v>
      </c>
      <c r="BH13">
        <v>842</v>
      </c>
      <c r="BI13">
        <v>857</v>
      </c>
      <c r="BJ13">
        <v>872</v>
      </c>
      <c r="BK13">
        <v>887</v>
      </c>
      <c r="BL13">
        <v>902</v>
      </c>
      <c r="BM13">
        <v>917</v>
      </c>
      <c r="BN13">
        <v>932</v>
      </c>
      <c r="BO13">
        <v>947</v>
      </c>
      <c r="BP13">
        <v>962</v>
      </c>
      <c r="BQ13">
        <v>977</v>
      </c>
      <c r="BR13">
        <v>992</v>
      </c>
      <c r="BS13">
        <v>1007</v>
      </c>
      <c r="BT13">
        <v>1022</v>
      </c>
      <c r="BU13">
        <v>1037</v>
      </c>
      <c r="BV13">
        <v>1052</v>
      </c>
      <c r="BW13">
        <v>1067</v>
      </c>
      <c r="BX13">
        <v>1082</v>
      </c>
      <c r="BY13">
        <v>1097</v>
      </c>
      <c r="BZ13">
        <v>1112</v>
      </c>
      <c r="CA13">
        <v>1127</v>
      </c>
      <c r="CB13">
        <v>1142</v>
      </c>
      <c r="CC13">
        <v>1157</v>
      </c>
      <c r="CD13">
        <v>1172</v>
      </c>
      <c r="CE13">
        <v>1187</v>
      </c>
      <c r="CF13">
        <v>1202</v>
      </c>
      <c r="CG13">
        <v>1217</v>
      </c>
      <c r="CH13">
        <v>1232</v>
      </c>
      <c r="CI13">
        <v>1247</v>
      </c>
      <c r="CJ13">
        <v>1262</v>
      </c>
      <c r="CK13">
        <v>1277</v>
      </c>
      <c r="CL13">
        <v>1292</v>
      </c>
      <c r="CM13">
        <v>1307</v>
      </c>
      <c r="CN13">
        <v>1322</v>
      </c>
      <c r="CO13">
        <v>1337</v>
      </c>
      <c r="CP13">
        <v>1352</v>
      </c>
      <c r="CQ13">
        <v>1367</v>
      </c>
      <c r="CR13">
        <v>1382</v>
      </c>
      <c r="CS13">
        <v>1397</v>
      </c>
      <c r="CT13">
        <v>1412</v>
      </c>
      <c r="CU13">
        <v>1427</v>
      </c>
      <c r="CV13">
        <v>1442</v>
      </c>
      <c r="CW13">
        <v>1457</v>
      </c>
      <c r="CX13">
        <v>1472</v>
      </c>
      <c r="CY13">
        <v>1487</v>
      </c>
    </row>
    <row r="14" spans="2:103" x14ac:dyDescent="0.3">
      <c r="D14">
        <v>3</v>
      </c>
      <c r="E14">
        <v>18</v>
      </c>
      <c r="F14">
        <v>33</v>
      </c>
      <c r="G14">
        <v>48</v>
      </c>
      <c r="H14">
        <v>63</v>
      </c>
      <c r="I14">
        <v>78</v>
      </c>
      <c r="J14">
        <v>93</v>
      </c>
      <c r="K14">
        <v>108</v>
      </c>
      <c r="L14">
        <v>123</v>
      </c>
      <c r="M14">
        <v>138</v>
      </c>
      <c r="N14">
        <v>153</v>
      </c>
      <c r="O14">
        <v>168</v>
      </c>
      <c r="P14">
        <v>183</v>
      </c>
      <c r="Q14">
        <v>198</v>
      </c>
      <c r="R14">
        <v>213</v>
      </c>
      <c r="S14">
        <v>228</v>
      </c>
      <c r="T14">
        <v>243</v>
      </c>
      <c r="U14">
        <v>258</v>
      </c>
      <c r="V14">
        <v>273</v>
      </c>
      <c r="W14">
        <v>288</v>
      </c>
      <c r="X14">
        <v>303</v>
      </c>
      <c r="Y14">
        <v>318</v>
      </c>
      <c r="Z14">
        <v>333</v>
      </c>
      <c r="AA14">
        <v>348</v>
      </c>
      <c r="AB14">
        <v>363</v>
      </c>
      <c r="AC14">
        <v>378</v>
      </c>
      <c r="AD14">
        <v>393</v>
      </c>
      <c r="AE14">
        <v>408</v>
      </c>
      <c r="AF14">
        <v>423</v>
      </c>
      <c r="AG14">
        <v>438</v>
      </c>
      <c r="AH14">
        <v>453</v>
      </c>
      <c r="AI14">
        <v>468</v>
      </c>
      <c r="AJ14">
        <v>483</v>
      </c>
      <c r="AK14">
        <v>498</v>
      </c>
      <c r="AL14">
        <v>513</v>
      </c>
      <c r="AM14">
        <v>528</v>
      </c>
      <c r="AN14">
        <v>543</v>
      </c>
      <c r="AO14">
        <v>558</v>
      </c>
      <c r="AP14">
        <v>573</v>
      </c>
      <c r="AQ14">
        <v>588</v>
      </c>
      <c r="AR14">
        <v>603</v>
      </c>
      <c r="AS14">
        <v>618</v>
      </c>
      <c r="AT14">
        <v>633</v>
      </c>
      <c r="AU14">
        <v>648</v>
      </c>
      <c r="AV14">
        <v>663</v>
      </c>
      <c r="AW14">
        <v>678</v>
      </c>
      <c r="AX14">
        <v>693</v>
      </c>
      <c r="AY14">
        <v>708</v>
      </c>
      <c r="AZ14">
        <v>723</v>
      </c>
      <c r="BA14">
        <v>738</v>
      </c>
      <c r="BB14">
        <v>753</v>
      </c>
      <c r="BC14">
        <v>768</v>
      </c>
      <c r="BD14">
        <v>783</v>
      </c>
      <c r="BE14">
        <v>798</v>
      </c>
      <c r="BF14">
        <v>813</v>
      </c>
      <c r="BG14">
        <v>828</v>
      </c>
      <c r="BH14">
        <v>843</v>
      </c>
      <c r="BI14">
        <v>858</v>
      </c>
      <c r="BJ14">
        <v>873</v>
      </c>
      <c r="BK14">
        <v>888</v>
      </c>
      <c r="BL14">
        <v>903</v>
      </c>
      <c r="BM14">
        <v>918</v>
      </c>
      <c r="BN14">
        <v>933</v>
      </c>
      <c r="BO14">
        <v>948</v>
      </c>
      <c r="BP14">
        <v>963</v>
      </c>
      <c r="BQ14">
        <v>978</v>
      </c>
      <c r="BR14">
        <v>993</v>
      </c>
      <c r="BS14">
        <v>1008</v>
      </c>
      <c r="BT14">
        <v>1023</v>
      </c>
      <c r="BU14">
        <v>1038</v>
      </c>
      <c r="BV14">
        <v>1053</v>
      </c>
      <c r="BW14">
        <v>1068</v>
      </c>
      <c r="BX14">
        <v>1083</v>
      </c>
      <c r="BY14">
        <v>1098</v>
      </c>
      <c r="BZ14">
        <v>1113</v>
      </c>
      <c r="CA14">
        <v>1128</v>
      </c>
      <c r="CB14">
        <v>1143</v>
      </c>
      <c r="CC14">
        <v>1158</v>
      </c>
      <c r="CD14">
        <v>1173</v>
      </c>
      <c r="CE14">
        <v>1188</v>
      </c>
      <c r="CF14">
        <v>1203</v>
      </c>
      <c r="CG14">
        <v>1218</v>
      </c>
      <c r="CH14">
        <v>1233</v>
      </c>
      <c r="CI14">
        <v>1248</v>
      </c>
      <c r="CJ14">
        <v>1263</v>
      </c>
      <c r="CK14">
        <v>1278</v>
      </c>
      <c r="CL14">
        <v>1293</v>
      </c>
      <c r="CM14">
        <v>1308</v>
      </c>
      <c r="CN14">
        <v>1323</v>
      </c>
      <c r="CO14">
        <v>1338</v>
      </c>
      <c r="CP14">
        <v>1353</v>
      </c>
      <c r="CQ14">
        <v>1368</v>
      </c>
      <c r="CR14">
        <v>1383</v>
      </c>
      <c r="CS14">
        <v>1398</v>
      </c>
      <c r="CT14">
        <v>1413</v>
      </c>
      <c r="CU14">
        <v>1428</v>
      </c>
      <c r="CV14">
        <v>1443</v>
      </c>
      <c r="CW14">
        <v>1458</v>
      </c>
      <c r="CX14">
        <v>1473</v>
      </c>
      <c r="CY14">
        <v>1488</v>
      </c>
    </row>
    <row r="16" spans="2:103" x14ac:dyDescent="0.3">
      <c r="B16" t="s">
        <v>48</v>
      </c>
      <c r="D16" cm="1">
        <f t="array" ref="D16:H18">_xll.RScript.Evaluate(B16)</f>
        <v>1</v>
      </c>
      <c r="E16">
        <v>4</v>
      </c>
      <c r="F16">
        <v>7</v>
      </c>
      <c r="G16">
        <v>10</v>
      </c>
      <c r="H16">
        <v>13</v>
      </c>
    </row>
    <row r="17" spans="2:9" x14ac:dyDescent="0.3">
      <c r="D17">
        <v>2</v>
      </c>
      <c r="E17">
        <v>5</v>
      </c>
      <c r="F17">
        <v>8</v>
      </c>
      <c r="G17">
        <v>11</v>
      </c>
      <c r="H17">
        <v>14</v>
      </c>
    </row>
    <row r="18" spans="2:9" x14ac:dyDescent="0.3">
      <c r="D18">
        <v>3</v>
      </c>
      <c r="E18">
        <v>6</v>
      </c>
      <c r="F18">
        <v>9</v>
      </c>
      <c r="G18">
        <v>12</v>
      </c>
      <c r="H18">
        <v>15</v>
      </c>
    </row>
    <row r="20" spans="2:9" x14ac:dyDescent="0.3">
      <c r="B20" t="s">
        <v>49</v>
      </c>
      <c r="D20" t="str" cm="1">
        <f t="array" ref="D20">_xll.RScript.Evaluate(B20)</f>
        <v>x_5</v>
      </c>
      <c r="E20" cm="1">
        <f t="array" ref="E20:I23">_xll.RScript.Evaluate(D20)</f>
        <v>1</v>
      </c>
      <c r="F20">
        <v>5</v>
      </c>
      <c r="G20">
        <v>9</v>
      </c>
      <c r="H20">
        <v>13</v>
      </c>
      <c r="I20">
        <v>17</v>
      </c>
    </row>
    <row r="21" spans="2:9" x14ac:dyDescent="0.3">
      <c r="E21">
        <v>2</v>
      </c>
      <c r="F21">
        <v>6</v>
      </c>
      <c r="G21">
        <v>10</v>
      </c>
      <c r="H21">
        <v>14</v>
      </c>
      <c r="I21">
        <v>18</v>
      </c>
    </row>
    <row r="22" spans="2:9" x14ac:dyDescent="0.3">
      <c r="E22">
        <v>3</v>
      </c>
      <c r="F22">
        <v>7</v>
      </c>
      <c r="G22">
        <v>11</v>
      </c>
      <c r="H22">
        <v>15</v>
      </c>
      <c r="I22">
        <v>19</v>
      </c>
    </row>
    <row r="23" spans="2:9" x14ac:dyDescent="0.3">
      <c r="E23">
        <v>4</v>
      </c>
      <c r="F23">
        <v>8</v>
      </c>
      <c r="G23">
        <v>12</v>
      </c>
      <c r="H23">
        <v>16</v>
      </c>
      <c r="I23">
        <v>20</v>
      </c>
    </row>
    <row r="25" spans="2:9" x14ac:dyDescent="0.3">
      <c r="B25" t="s">
        <v>50</v>
      </c>
      <c r="D25" t="str" cm="1">
        <f t="array" ref="D25">_xll.RScript.Evaluate(B25)</f>
        <v>i_5</v>
      </c>
      <c r="E25" cm="1">
        <f t="array" ref="E25:F27">_xll.RScript.Evaluate(D25)</f>
        <v>1</v>
      </c>
      <c r="F25">
        <v>3</v>
      </c>
    </row>
    <row r="26" spans="2:9" x14ac:dyDescent="0.3">
      <c r="E26">
        <v>2</v>
      </c>
      <c r="F26">
        <v>2</v>
      </c>
    </row>
    <row r="27" spans="2:9" x14ac:dyDescent="0.3">
      <c r="E27">
        <v>3</v>
      </c>
      <c r="F27">
        <v>1</v>
      </c>
    </row>
    <row r="28" spans="2:9" x14ac:dyDescent="0.3">
      <c r="B28" t="s">
        <v>51</v>
      </c>
      <c r="E28" cm="1">
        <f t="array" ref="E28:E30">_xll.RScript.Evaluate(B28)</f>
        <v>9</v>
      </c>
    </row>
    <row r="29" spans="2:9" x14ac:dyDescent="0.3">
      <c r="E29">
        <v>6</v>
      </c>
    </row>
    <row r="30" spans="2:9" x14ac:dyDescent="0.3">
      <c r="E30">
        <v>3</v>
      </c>
    </row>
    <row r="31" spans="2:9" x14ac:dyDescent="0.3">
      <c r="B31" t="s">
        <v>52</v>
      </c>
      <c r="D31" t="str" cm="1">
        <f t="array" ref="D31">_xll.RScript.Evaluate(B31)</f>
        <v>x_5[i_5]</v>
      </c>
      <c r="E31" cm="1">
        <f t="array" ref="E31:E33">_xll.RScript.Evaluate(D31)</f>
        <v>0</v>
      </c>
    </row>
    <row r="32" spans="2:9" x14ac:dyDescent="0.3">
      <c r="E32">
        <v>0</v>
      </c>
    </row>
    <row r="33" spans="2:14" x14ac:dyDescent="0.3">
      <c r="E33">
        <v>0</v>
      </c>
    </row>
    <row r="34" spans="2:14" x14ac:dyDescent="0.3">
      <c r="B34" t="s">
        <v>53</v>
      </c>
      <c r="D34" cm="1">
        <f t="array" ref="D34:H37">_xll.RScript.Evaluate(B34)</f>
        <v>1</v>
      </c>
      <c r="E34">
        <v>5</v>
      </c>
      <c r="F34" s="4">
        <v>0</v>
      </c>
      <c r="G34">
        <v>13</v>
      </c>
      <c r="H34">
        <v>17</v>
      </c>
    </row>
    <row r="35" spans="2:14" x14ac:dyDescent="0.3">
      <c r="D35">
        <v>2</v>
      </c>
      <c r="E35" s="4">
        <v>0</v>
      </c>
      <c r="F35">
        <v>10</v>
      </c>
      <c r="G35">
        <v>14</v>
      </c>
      <c r="H35">
        <v>18</v>
      </c>
    </row>
    <row r="36" spans="2:14" x14ac:dyDescent="0.3">
      <c r="D36" s="4">
        <v>0</v>
      </c>
      <c r="E36">
        <v>7</v>
      </c>
      <c r="F36">
        <v>11</v>
      </c>
      <c r="G36">
        <v>15</v>
      </c>
      <c r="H36">
        <v>19</v>
      </c>
    </row>
    <row r="37" spans="2:14" x14ac:dyDescent="0.3">
      <c r="D37">
        <v>4</v>
      </c>
      <c r="E37">
        <v>8</v>
      </c>
      <c r="F37">
        <v>12</v>
      </c>
      <c r="G37">
        <v>16</v>
      </c>
      <c r="H37">
        <v>20</v>
      </c>
    </row>
    <row r="39" spans="2:14" x14ac:dyDescent="0.3">
      <c r="B39" t="s">
        <v>54</v>
      </c>
      <c r="D39" t="str" cm="1">
        <f t="array" ref="D39">_xll.RScript.Evaluate(B39)</f>
        <v>x_51</v>
      </c>
    </row>
    <row r="40" spans="2:14" x14ac:dyDescent="0.3">
      <c r="B40" t="s">
        <v>55</v>
      </c>
      <c r="D40" t="str" cm="1">
        <f t="array" ref="D40">_xll.RScript.Evaluate(B40)</f>
        <v>y_51</v>
      </c>
    </row>
    <row r="41" spans="2:14" x14ac:dyDescent="0.3">
      <c r="B41" t="s">
        <v>56</v>
      </c>
      <c r="D41" t="str" cm="1">
        <f t="array" ref="D41">_xll.RScript.Evaluate(B41)</f>
        <v>xy_51</v>
      </c>
      <c r="E41" cm="1">
        <f t="array" ref="E41:N50">_xll.RScript.Evaluate(D41)</f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2:14" x14ac:dyDescent="0.3">
      <c r="E42">
        <v>0</v>
      </c>
      <c r="F42">
        <v>1</v>
      </c>
      <c r="G42">
        <v>2</v>
      </c>
      <c r="H42">
        <v>3</v>
      </c>
      <c r="I42">
        <v>4</v>
      </c>
      <c r="J42">
        <v>5</v>
      </c>
      <c r="K42">
        <v>6</v>
      </c>
      <c r="L42">
        <v>7</v>
      </c>
      <c r="M42">
        <v>8</v>
      </c>
      <c r="N42">
        <v>9</v>
      </c>
    </row>
    <row r="43" spans="2:14" x14ac:dyDescent="0.3"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</row>
    <row r="44" spans="2:14" x14ac:dyDescent="0.3">
      <c r="E44">
        <v>0</v>
      </c>
      <c r="F44">
        <v>3</v>
      </c>
      <c r="G44">
        <v>6</v>
      </c>
      <c r="H44">
        <v>9</v>
      </c>
      <c r="I44">
        <v>12</v>
      </c>
      <c r="J44">
        <v>15</v>
      </c>
      <c r="K44">
        <v>18</v>
      </c>
      <c r="L44">
        <v>21</v>
      </c>
      <c r="M44">
        <v>24</v>
      </c>
      <c r="N44">
        <v>27</v>
      </c>
    </row>
    <row r="45" spans="2:14" x14ac:dyDescent="0.3">
      <c r="E45">
        <v>0</v>
      </c>
      <c r="F45">
        <v>4</v>
      </c>
      <c r="G45">
        <v>8</v>
      </c>
      <c r="H45">
        <v>12</v>
      </c>
      <c r="I45">
        <v>16</v>
      </c>
      <c r="J45">
        <v>20</v>
      </c>
      <c r="K45">
        <v>24</v>
      </c>
      <c r="L45">
        <v>28</v>
      </c>
      <c r="M45">
        <v>32</v>
      </c>
      <c r="N45">
        <v>36</v>
      </c>
    </row>
    <row r="46" spans="2:14" x14ac:dyDescent="0.3">
      <c r="E46">
        <v>0</v>
      </c>
      <c r="F46">
        <v>5</v>
      </c>
      <c r="G46">
        <v>10</v>
      </c>
      <c r="H46">
        <v>15</v>
      </c>
      <c r="I46">
        <v>20</v>
      </c>
      <c r="J46">
        <v>25</v>
      </c>
      <c r="K46">
        <v>30</v>
      </c>
      <c r="L46">
        <v>35</v>
      </c>
      <c r="M46">
        <v>40</v>
      </c>
      <c r="N46">
        <v>45</v>
      </c>
    </row>
    <row r="47" spans="2:14" x14ac:dyDescent="0.3">
      <c r="E47">
        <v>0</v>
      </c>
      <c r="F47">
        <v>6</v>
      </c>
      <c r="G47">
        <v>12</v>
      </c>
      <c r="H47">
        <v>18</v>
      </c>
      <c r="I47">
        <v>24</v>
      </c>
      <c r="J47">
        <v>30</v>
      </c>
      <c r="K47">
        <v>36</v>
      </c>
      <c r="L47">
        <v>42</v>
      </c>
      <c r="M47">
        <v>48</v>
      </c>
      <c r="N47">
        <v>54</v>
      </c>
    </row>
    <row r="48" spans="2:14" x14ac:dyDescent="0.3">
      <c r="E48">
        <v>0</v>
      </c>
      <c r="F48">
        <v>7</v>
      </c>
      <c r="G48">
        <v>14</v>
      </c>
      <c r="H48">
        <v>21</v>
      </c>
      <c r="I48">
        <v>28</v>
      </c>
      <c r="J48">
        <v>35</v>
      </c>
      <c r="K48">
        <v>42</v>
      </c>
      <c r="L48">
        <v>49</v>
      </c>
      <c r="M48">
        <v>56</v>
      </c>
      <c r="N48">
        <v>63</v>
      </c>
    </row>
    <row r="49" spans="2:14" x14ac:dyDescent="0.3">
      <c r="E49">
        <v>0</v>
      </c>
      <c r="F49">
        <v>8</v>
      </c>
      <c r="G49">
        <v>16</v>
      </c>
      <c r="H49">
        <v>24</v>
      </c>
      <c r="I49">
        <v>32</v>
      </c>
      <c r="J49">
        <v>40</v>
      </c>
      <c r="K49">
        <v>48</v>
      </c>
      <c r="L49">
        <v>56</v>
      </c>
      <c r="M49">
        <v>64</v>
      </c>
      <c r="N49">
        <v>72</v>
      </c>
    </row>
    <row r="50" spans="2:14" x14ac:dyDescent="0.3">
      <c r="E50">
        <v>0</v>
      </c>
      <c r="F50">
        <v>9</v>
      </c>
      <c r="G50">
        <v>18</v>
      </c>
      <c r="H50">
        <v>27</v>
      </c>
      <c r="I50">
        <v>36</v>
      </c>
      <c r="J50">
        <v>45</v>
      </c>
      <c r="K50">
        <v>54</v>
      </c>
      <c r="L50">
        <v>63</v>
      </c>
      <c r="M50">
        <v>72</v>
      </c>
      <c r="N50">
        <v>81</v>
      </c>
    </row>
    <row r="52" spans="2:14" x14ac:dyDescent="0.3">
      <c r="B52" t="s">
        <v>57</v>
      </c>
      <c r="D52" t="str" cm="1">
        <f t="array" ref="D52">_xll.RScript.Evaluate(B52)</f>
        <v>xy_52</v>
      </c>
      <c r="E52" cm="1">
        <f t="array" ref="E52:N61">_xll.RScript.Evaluate(D52)</f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2:14" x14ac:dyDescent="0.3">
      <c r="E53">
        <v>0</v>
      </c>
      <c r="F53">
        <v>1</v>
      </c>
      <c r="G53">
        <v>2</v>
      </c>
      <c r="H53">
        <v>3</v>
      </c>
      <c r="I53">
        <v>4</v>
      </c>
      <c r="J53">
        <v>5</v>
      </c>
      <c r="K53">
        <v>6</v>
      </c>
      <c r="L53">
        <v>7</v>
      </c>
      <c r="M53">
        <v>8</v>
      </c>
      <c r="N53">
        <v>9</v>
      </c>
    </row>
    <row r="54" spans="2:14" x14ac:dyDescent="0.3"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</row>
    <row r="55" spans="2:14" x14ac:dyDescent="0.3">
      <c r="E55">
        <v>0</v>
      </c>
      <c r="F55">
        <v>3</v>
      </c>
      <c r="G55">
        <v>6</v>
      </c>
      <c r="H55">
        <v>9</v>
      </c>
      <c r="I55">
        <v>12</v>
      </c>
      <c r="J55">
        <v>15</v>
      </c>
      <c r="K55">
        <v>18</v>
      </c>
      <c r="L55">
        <v>21</v>
      </c>
      <c r="M55">
        <v>24</v>
      </c>
      <c r="N55">
        <v>27</v>
      </c>
    </row>
    <row r="56" spans="2:14" x14ac:dyDescent="0.3">
      <c r="E56">
        <v>0</v>
      </c>
      <c r="F56">
        <v>4</v>
      </c>
      <c r="G56">
        <v>8</v>
      </c>
      <c r="H56">
        <v>12</v>
      </c>
      <c r="I56">
        <v>16</v>
      </c>
      <c r="J56">
        <v>20</v>
      </c>
      <c r="K56">
        <v>24</v>
      </c>
      <c r="L56">
        <v>28</v>
      </c>
      <c r="M56">
        <v>32</v>
      </c>
      <c r="N56">
        <v>36</v>
      </c>
    </row>
    <row r="57" spans="2:14" x14ac:dyDescent="0.3">
      <c r="E57">
        <v>0</v>
      </c>
      <c r="F57">
        <v>5</v>
      </c>
      <c r="G57">
        <v>10</v>
      </c>
      <c r="H57">
        <v>15</v>
      </c>
      <c r="I57">
        <v>20</v>
      </c>
      <c r="J57">
        <v>25</v>
      </c>
      <c r="K57">
        <v>30</v>
      </c>
      <c r="L57">
        <v>35</v>
      </c>
      <c r="M57">
        <v>40</v>
      </c>
      <c r="N57">
        <v>45</v>
      </c>
    </row>
    <row r="58" spans="2:14" x14ac:dyDescent="0.3">
      <c r="E58">
        <v>0</v>
      </c>
      <c r="F58">
        <v>6</v>
      </c>
      <c r="G58">
        <v>12</v>
      </c>
      <c r="H58">
        <v>18</v>
      </c>
      <c r="I58">
        <v>24</v>
      </c>
      <c r="J58">
        <v>30</v>
      </c>
      <c r="K58">
        <v>36</v>
      </c>
      <c r="L58">
        <v>42</v>
      </c>
      <c r="M58">
        <v>48</v>
      </c>
      <c r="N58">
        <v>54</v>
      </c>
    </row>
    <row r="59" spans="2:14" x14ac:dyDescent="0.3">
      <c r="E59">
        <v>0</v>
      </c>
      <c r="F59">
        <v>7</v>
      </c>
      <c r="G59">
        <v>14</v>
      </c>
      <c r="H59">
        <v>21</v>
      </c>
      <c r="I59">
        <v>28</v>
      </c>
      <c r="J59">
        <v>35</v>
      </c>
      <c r="K59">
        <v>42</v>
      </c>
      <c r="L59">
        <v>49</v>
      </c>
      <c r="M59">
        <v>56</v>
      </c>
      <c r="N59">
        <v>63</v>
      </c>
    </row>
    <row r="60" spans="2:14" x14ac:dyDescent="0.3">
      <c r="E60">
        <v>0</v>
      </c>
      <c r="F60">
        <v>8</v>
      </c>
      <c r="G60">
        <v>16</v>
      </c>
      <c r="H60">
        <v>24</v>
      </c>
      <c r="I60">
        <v>32</v>
      </c>
      <c r="J60">
        <v>40</v>
      </c>
      <c r="K60">
        <v>48</v>
      </c>
      <c r="L60">
        <v>56</v>
      </c>
      <c r="M60">
        <v>64</v>
      </c>
      <c r="N60">
        <v>72</v>
      </c>
    </row>
    <row r="61" spans="2:14" x14ac:dyDescent="0.3">
      <c r="E61">
        <v>0</v>
      </c>
      <c r="F61">
        <v>9</v>
      </c>
      <c r="G61">
        <v>18</v>
      </c>
      <c r="H61">
        <v>27</v>
      </c>
      <c r="I61">
        <v>36</v>
      </c>
      <c r="J61">
        <v>45</v>
      </c>
      <c r="K61">
        <v>54</v>
      </c>
      <c r="L61">
        <v>63</v>
      </c>
      <c r="M61">
        <v>72</v>
      </c>
      <c r="N61">
        <v>81</v>
      </c>
    </row>
    <row r="63" spans="2:14" x14ac:dyDescent="0.3">
      <c r="B63" t="s">
        <v>58</v>
      </c>
      <c r="D63" t="str" cm="1">
        <f t="array" ref="D63">_xll.RScript.Evaluate(B63)</f>
        <v>f_5</v>
      </c>
    </row>
    <row r="64" spans="2:14" x14ac:dyDescent="0.3">
      <c r="B64" t="s">
        <v>59</v>
      </c>
      <c r="D64" t="str" cm="1">
        <f t="array" ref="D64">_xll.RScript.Evaluate(B64)</f>
        <v>z_53</v>
      </c>
      <c r="E64" cm="1">
        <f t="array" ref="E64:N73">_xll.RScript.Evaluate(D64)</f>
        <v>1</v>
      </c>
      <c r="F64">
        <v>0.54030230586813977</v>
      </c>
      <c r="G64">
        <v>-0.41614683654714241</v>
      </c>
      <c r="H64">
        <v>-0.98999249660044542</v>
      </c>
      <c r="I64">
        <v>-0.65364362086361194</v>
      </c>
      <c r="J64">
        <v>0.28366218546322625</v>
      </c>
      <c r="K64">
        <v>0.96017028665036597</v>
      </c>
      <c r="L64">
        <v>0.7539022543433046</v>
      </c>
      <c r="M64">
        <v>-0.14550003380861354</v>
      </c>
      <c r="N64">
        <v>-0.91113026188467694</v>
      </c>
    </row>
    <row r="65" spans="2:14" x14ac:dyDescent="0.3">
      <c r="E65">
        <v>0.5</v>
      </c>
      <c r="F65">
        <v>0.27015115293406988</v>
      </c>
      <c r="G65">
        <v>-0.2080734182735712</v>
      </c>
      <c r="H65">
        <v>-0.49499624830022271</v>
      </c>
      <c r="I65">
        <v>-0.32682181043180597</v>
      </c>
      <c r="J65">
        <v>0.14183109273161312</v>
      </c>
      <c r="K65">
        <v>0.48008514332518298</v>
      </c>
      <c r="L65">
        <v>0.3769511271716523</v>
      </c>
      <c r="M65">
        <v>-7.2750016904306769E-2</v>
      </c>
      <c r="N65">
        <v>-0.45556513094233847</v>
      </c>
    </row>
    <row r="66" spans="2:14" x14ac:dyDescent="0.3">
      <c r="E66">
        <v>0.2</v>
      </c>
      <c r="F66">
        <v>0.10806046117362796</v>
      </c>
      <c r="G66">
        <v>-8.3229367309428481E-2</v>
      </c>
      <c r="H66">
        <v>-0.19799849932008909</v>
      </c>
      <c r="I66">
        <v>-0.13072872417272238</v>
      </c>
      <c r="J66">
        <v>5.6732437092645249E-2</v>
      </c>
      <c r="K66">
        <v>0.1920340573300732</v>
      </c>
      <c r="L66">
        <v>0.15078045086866093</v>
      </c>
      <c r="M66">
        <v>-2.9100006761722707E-2</v>
      </c>
      <c r="N66">
        <v>-0.1822260523769354</v>
      </c>
    </row>
    <row r="67" spans="2:14" x14ac:dyDescent="0.3">
      <c r="E67">
        <v>0.1</v>
      </c>
      <c r="F67">
        <v>5.4030230586813978E-2</v>
      </c>
      <c r="G67">
        <v>-4.1614683654714241E-2</v>
      </c>
      <c r="H67">
        <v>-9.8999249660044544E-2</v>
      </c>
      <c r="I67">
        <v>-6.5364362086361191E-2</v>
      </c>
      <c r="J67">
        <v>2.8366218546322625E-2</v>
      </c>
      <c r="K67">
        <v>9.6017028665036599E-2</v>
      </c>
      <c r="L67">
        <v>7.5390225434330466E-2</v>
      </c>
      <c r="M67">
        <v>-1.4550003380861353E-2</v>
      </c>
      <c r="N67">
        <v>-9.11130261884677E-2</v>
      </c>
    </row>
    <row r="68" spans="2:14" x14ac:dyDescent="0.3">
      <c r="E68">
        <v>5.8823529411764705E-2</v>
      </c>
      <c r="F68">
        <v>3.1782488580478808E-2</v>
      </c>
      <c r="G68">
        <v>-2.4479225679243672E-2</v>
      </c>
      <c r="H68">
        <v>-5.8234852741202672E-2</v>
      </c>
      <c r="I68">
        <v>-3.8449624756683058E-2</v>
      </c>
      <c r="J68">
        <v>1.6686010909601545E-2</v>
      </c>
      <c r="K68">
        <v>5.6480605097080354E-2</v>
      </c>
      <c r="L68">
        <v>4.4347191431959095E-2</v>
      </c>
      <c r="M68">
        <v>-8.5588255181537377E-3</v>
      </c>
      <c r="N68">
        <v>-5.3595897757922173E-2</v>
      </c>
    </row>
    <row r="69" spans="2:14" x14ac:dyDescent="0.3">
      <c r="E69">
        <v>3.8461538461538464E-2</v>
      </c>
      <c r="F69">
        <v>2.0780857918005376E-2</v>
      </c>
      <c r="G69">
        <v>-1.6005647559505478E-2</v>
      </c>
      <c r="H69">
        <v>-3.8076634484632513E-2</v>
      </c>
      <c r="I69">
        <v>-2.5140139263985076E-2</v>
      </c>
      <c r="J69">
        <v>1.0910084056277932E-2</v>
      </c>
      <c r="K69">
        <v>3.6929626409629462E-2</v>
      </c>
      <c r="L69">
        <v>2.899624055166556E-2</v>
      </c>
      <c r="M69">
        <v>-5.5961551464851359E-3</v>
      </c>
      <c r="N69">
        <v>-3.504347161094911E-2</v>
      </c>
    </row>
    <row r="70" spans="2:14" x14ac:dyDescent="0.3">
      <c r="E70">
        <v>2.7027027027027029E-2</v>
      </c>
      <c r="F70">
        <v>1.4602765023463237E-2</v>
      </c>
      <c r="G70">
        <v>-1.1247211798571416E-2</v>
      </c>
      <c r="H70">
        <v>-2.67565539621742E-2</v>
      </c>
      <c r="I70">
        <v>-1.7666043807124648E-2</v>
      </c>
      <c r="J70">
        <v>7.6665455530601691E-3</v>
      </c>
      <c r="K70">
        <v>2.5950548287847729E-2</v>
      </c>
      <c r="L70">
        <v>2.0375736603873096E-2</v>
      </c>
      <c r="M70">
        <v>-3.9324333461787445E-3</v>
      </c>
      <c r="N70">
        <v>-2.4625142213099378E-2</v>
      </c>
    </row>
    <row r="71" spans="2:14" x14ac:dyDescent="0.3">
      <c r="E71">
        <v>0.02</v>
      </c>
      <c r="F71">
        <v>1.0806046117362795E-2</v>
      </c>
      <c r="G71">
        <v>-8.3229367309428474E-3</v>
      </c>
      <c r="H71">
        <v>-1.9799849932008909E-2</v>
      </c>
      <c r="I71">
        <v>-1.3072872417272239E-2</v>
      </c>
      <c r="J71">
        <v>5.6732437092645253E-3</v>
      </c>
      <c r="K71">
        <v>1.9203405733007318E-2</v>
      </c>
      <c r="L71">
        <v>1.5078045086866092E-2</v>
      </c>
      <c r="M71">
        <v>-2.9100006761722708E-3</v>
      </c>
      <c r="N71">
        <v>-1.8222605237693538E-2</v>
      </c>
    </row>
    <row r="72" spans="2:14" x14ac:dyDescent="0.3">
      <c r="E72">
        <v>1.5384615384615385E-2</v>
      </c>
      <c r="F72">
        <v>8.3123431672021495E-3</v>
      </c>
      <c r="G72">
        <v>-6.4022590238021907E-3</v>
      </c>
      <c r="H72">
        <v>-1.5230653793853006E-2</v>
      </c>
      <c r="I72">
        <v>-1.0056055705594031E-2</v>
      </c>
      <c r="J72">
        <v>4.3640336225111726E-3</v>
      </c>
      <c r="K72">
        <v>1.4771850563851784E-2</v>
      </c>
      <c r="L72">
        <v>1.1598496220666225E-2</v>
      </c>
      <c r="M72">
        <v>-2.2384620585940546E-3</v>
      </c>
      <c r="N72">
        <v>-1.4017388644379646E-2</v>
      </c>
    </row>
    <row r="73" spans="2:14" x14ac:dyDescent="0.3">
      <c r="E73">
        <v>1.2195121951219513E-2</v>
      </c>
      <c r="F73">
        <v>6.5890525105870706E-3</v>
      </c>
      <c r="G73">
        <v>-5.0749614213066148E-3</v>
      </c>
      <c r="H73">
        <v>-1.2073079226834701E-2</v>
      </c>
      <c r="I73">
        <v>-7.9712636690684388E-3</v>
      </c>
      <c r="J73">
        <v>3.4592949446734908E-3</v>
      </c>
      <c r="K73">
        <v>1.1709393739638609E-2</v>
      </c>
      <c r="L73">
        <v>9.1939299310159102E-3</v>
      </c>
      <c r="M73">
        <v>-1.7743906562026042E-3</v>
      </c>
      <c r="N73">
        <v>-1.1111344657130207E-2</v>
      </c>
    </row>
    <row r="75" spans="2:14" x14ac:dyDescent="0.3">
      <c r="B75" t="s">
        <v>60</v>
      </c>
      <c r="D75" t="str" cm="1">
        <f t="array" ref="D75">_xll.RScript.Evaluate(B75)</f>
        <v>d_5</v>
      </c>
    </row>
    <row r="76" spans="2:14" x14ac:dyDescent="0.3">
      <c r="B76" t="s">
        <v>61</v>
      </c>
      <c r="D76" t="str" cm="1">
        <f t="array" ref="D76">_xll.RScript.Evaluate(B76)</f>
        <v>fr_5</v>
      </c>
    </row>
    <row r="77" spans="2:14" x14ac:dyDescent="0.3">
      <c r="B77" t="s">
        <v>62</v>
      </c>
      <c r="D77" t="str" cm="1">
        <f t="array" ref="D77">_xll.RScript.Evaluate(B77)</f>
        <v>OK</v>
      </c>
    </row>
    <row r="95" spans="2:14" x14ac:dyDescent="0.3">
      <c r="B95" t="s">
        <v>63</v>
      </c>
      <c r="E95" cm="1">
        <f t="array" ref="E95:N104">_xll.RScript.Evaluate(B95)</f>
        <v>1</v>
      </c>
      <c r="F95">
        <v>0.5</v>
      </c>
      <c r="G95">
        <v>0.2</v>
      </c>
      <c r="H95">
        <v>0.1</v>
      </c>
      <c r="I95">
        <v>5.8823529411764705E-2</v>
      </c>
      <c r="J95">
        <v>3.8461538461538464E-2</v>
      </c>
      <c r="K95">
        <v>2.7027027027027029E-2</v>
      </c>
      <c r="L95">
        <v>0.02</v>
      </c>
      <c r="M95">
        <v>1.5384615384615385E-2</v>
      </c>
      <c r="N95">
        <v>1.2195121951219513E-2</v>
      </c>
    </row>
    <row r="96" spans="2:14" x14ac:dyDescent="0.3">
      <c r="E96">
        <v>0.54030230586813977</v>
      </c>
      <c r="F96">
        <v>0.27015115293406988</v>
      </c>
      <c r="G96">
        <v>0.10806046117362796</v>
      </c>
      <c r="H96">
        <v>5.4030230586813978E-2</v>
      </c>
      <c r="I96">
        <v>3.1782488580478808E-2</v>
      </c>
      <c r="J96">
        <v>2.0780857918005376E-2</v>
      </c>
      <c r="K96">
        <v>1.4602765023463237E-2</v>
      </c>
      <c r="L96">
        <v>1.0806046117362795E-2</v>
      </c>
      <c r="M96">
        <v>8.3123431672021495E-3</v>
      </c>
      <c r="N96">
        <v>6.5890525105870706E-3</v>
      </c>
    </row>
    <row r="97" spans="2:14" x14ac:dyDescent="0.3">
      <c r="E97">
        <v>-0.41614683654714241</v>
      </c>
      <c r="F97">
        <v>-0.2080734182735712</v>
      </c>
      <c r="G97">
        <v>-8.3229367309428481E-2</v>
      </c>
      <c r="H97">
        <v>-4.1614683654714241E-2</v>
      </c>
      <c r="I97">
        <v>-2.4479225679243672E-2</v>
      </c>
      <c r="J97">
        <v>-1.6005647559505478E-2</v>
      </c>
      <c r="K97">
        <v>-1.1247211798571416E-2</v>
      </c>
      <c r="L97">
        <v>-8.3229367309428474E-3</v>
      </c>
      <c r="M97">
        <v>-6.4022590238021907E-3</v>
      </c>
      <c r="N97">
        <v>-5.0749614213066148E-3</v>
      </c>
    </row>
    <row r="98" spans="2:14" x14ac:dyDescent="0.3">
      <c r="E98">
        <v>-0.98999249660044542</v>
      </c>
      <c r="F98">
        <v>-0.49499624830022271</v>
      </c>
      <c r="G98">
        <v>-0.19799849932008909</v>
      </c>
      <c r="H98">
        <v>-9.8999249660044544E-2</v>
      </c>
      <c r="I98">
        <v>-5.8234852741202672E-2</v>
      </c>
      <c r="J98">
        <v>-3.8076634484632513E-2</v>
      </c>
      <c r="K98">
        <v>-2.67565539621742E-2</v>
      </c>
      <c r="L98">
        <v>-1.9799849932008909E-2</v>
      </c>
      <c r="M98">
        <v>-1.5230653793853006E-2</v>
      </c>
      <c r="N98">
        <v>-1.2073079226834701E-2</v>
      </c>
    </row>
    <row r="99" spans="2:14" x14ac:dyDescent="0.3">
      <c r="E99">
        <v>-0.65364362086361194</v>
      </c>
      <c r="F99">
        <v>-0.32682181043180597</v>
      </c>
      <c r="G99">
        <v>-0.13072872417272238</v>
      </c>
      <c r="H99">
        <v>-6.5364362086361191E-2</v>
      </c>
      <c r="I99">
        <v>-3.8449624756683058E-2</v>
      </c>
      <c r="J99">
        <v>-2.5140139263985076E-2</v>
      </c>
      <c r="K99">
        <v>-1.7666043807124648E-2</v>
      </c>
      <c r="L99">
        <v>-1.3072872417272239E-2</v>
      </c>
      <c r="M99">
        <v>-1.0056055705594031E-2</v>
      </c>
      <c r="N99">
        <v>-7.9712636690684388E-3</v>
      </c>
    </row>
    <row r="100" spans="2:14" x14ac:dyDescent="0.3">
      <c r="E100">
        <v>0.28366218546322625</v>
      </c>
      <c r="F100">
        <v>0.14183109273161312</v>
      </c>
      <c r="G100">
        <v>5.6732437092645249E-2</v>
      </c>
      <c r="H100">
        <v>2.8366218546322625E-2</v>
      </c>
      <c r="I100">
        <v>1.6686010909601545E-2</v>
      </c>
      <c r="J100">
        <v>1.0910084056277932E-2</v>
      </c>
      <c r="K100">
        <v>7.6665455530601691E-3</v>
      </c>
      <c r="L100">
        <v>5.6732437092645253E-3</v>
      </c>
      <c r="M100">
        <v>4.3640336225111726E-3</v>
      </c>
      <c r="N100">
        <v>3.4592949446734908E-3</v>
      </c>
    </row>
    <row r="101" spans="2:14" x14ac:dyDescent="0.3">
      <c r="E101">
        <v>0.96017028665036597</v>
      </c>
      <c r="F101">
        <v>0.48008514332518298</v>
      </c>
      <c r="G101">
        <v>0.1920340573300732</v>
      </c>
      <c r="H101">
        <v>9.6017028665036599E-2</v>
      </c>
      <c r="I101">
        <v>5.6480605097080354E-2</v>
      </c>
      <c r="J101">
        <v>3.6929626409629462E-2</v>
      </c>
      <c r="K101">
        <v>2.5950548287847729E-2</v>
      </c>
      <c r="L101">
        <v>1.9203405733007318E-2</v>
      </c>
      <c r="M101">
        <v>1.4771850563851784E-2</v>
      </c>
      <c r="N101">
        <v>1.1709393739638609E-2</v>
      </c>
    </row>
    <row r="102" spans="2:14" x14ac:dyDescent="0.3">
      <c r="E102">
        <v>0.7539022543433046</v>
      </c>
      <c r="F102">
        <v>0.3769511271716523</v>
      </c>
      <c r="G102">
        <v>0.15078045086866093</v>
      </c>
      <c r="H102">
        <v>7.5390225434330466E-2</v>
      </c>
      <c r="I102">
        <v>4.4347191431959095E-2</v>
      </c>
      <c r="J102">
        <v>2.899624055166556E-2</v>
      </c>
      <c r="K102">
        <v>2.0375736603873096E-2</v>
      </c>
      <c r="L102">
        <v>1.5078045086866092E-2</v>
      </c>
      <c r="M102">
        <v>1.1598496220666225E-2</v>
      </c>
      <c r="N102">
        <v>9.1939299310159102E-3</v>
      </c>
    </row>
    <row r="103" spans="2:14" x14ac:dyDescent="0.3">
      <c r="E103">
        <v>-0.14550003380861354</v>
      </c>
      <c r="F103">
        <v>-7.2750016904306769E-2</v>
      </c>
      <c r="G103">
        <v>-2.9100006761722707E-2</v>
      </c>
      <c r="H103">
        <v>-1.4550003380861353E-2</v>
      </c>
      <c r="I103">
        <v>-8.5588255181537377E-3</v>
      </c>
      <c r="J103">
        <v>-5.5961551464851359E-3</v>
      </c>
      <c r="K103">
        <v>-3.9324333461787445E-3</v>
      </c>
      <c r="L103">
        <v>-2.9100006761722708E-3</v>
      </c>
      <c r="M103">
        <v>-2.2384620585940546E-3</v>
      </c>
      <c r="N103">
        <v>-1.7743906562026042E-3</v>
      </c>
    </row>
    <row r="104" spans="2:14" x14ac:dyDescent="0.3">
      <c r="E104">
        <v>-0.91113026188467694</v>
      </c>
      <c r="F104">
        <v>-0.45556513094233847</v>
      </c>
      <c r="G104">
        <v>-0.1822260523769354</v>
      </c>
      <c r="H104">
        <v>-9.11130261884677E-2</v>
      </c>
      <c r="I104">
        <v>-5.3595897757922173E-2</v>
      </c>
      <c r="J104">
        <v>-3.504347161094911E-2</v>
      </c>
      <c r="K104">
        <v>-2.4625142213099378E-2</v>
      </c>
      <c r="L104">
        <v>-1.8222605237693538E-2</v>
      </c>
      <c r="M104">
        <v>-1.4017388644379646E-2</v>
      </c>
      <c r="N104">
        <v>-1.1111344657130207E-2</v>
      </c>
    </row>
    <row r="106" spans="2:14" x14ac:dyDescent="0.3">
      <c r="B106" t="s">
        <v>64</v>
      </c>
      <c r="D106" t="str" cm="1">
        <f t="array" ref="D106">_xll.RScript.Evaluate(B106)</f>
        <v>A_5</v>
      </c>
      <c r="E106" cm="1">
        <f t="array" ref="E106:F107">_xll.RScript.Evaluate(D106)</f>
        <v>3</v>
      </c>
      <c r="F106">
        <v>4</v>
      </c>
    </row>
    <row r="107" spans="2:14" x14ac:dyDescent="0.3">
      <c r="E107">
        <v>1</v>
      </c>
      <c r="F107">
        <v>1</v>
      </c>
    </row>
    <row r="109" spans="2:14" x14ac:dyDescent="0.3">
      <c r="B109" t="s">
        <v>65</v>
      </c>
      <c r="D109" t="str" cm="1">
        <f t="array" ref="D109">_xll.RScript.Evaluate(B109)</f>
        <v>b_5</v>
      </c>
      <c r="E109" cm="1">
        <f t="array" ref="E109:E110">_xll.RScript.Evaluate(D109)</f>
        <v>10</v>
      </c>
    </row>
    <row r="110" spans="2:14" x14ac:dyDescent="0.3">
      <c r="E110">
        <v>4</v>
      </c>
    </row>
    <row r="112" spans="2:14" x14ac:dyDescent="0.3">
      <c r="B112" t="s">
        <v>66</v>
      </c>
      <c r="D112" t="str" cm="1">
        <f t="array" ref="D112">_xll.RScript.Evaluate(B112)</f>
        <v>res_5</v>
      </c>
      <c r="E112" cm="1">
        <f t="array" ref="E112:E113">_xll.RScript.Evaluate(D112)</f>
        <v>6.0000000000000027</v>
      </c>
    </row>
    <row r="113" spans="2:9" x14ac:dyDescent="0.3">
      <c r="E113">
        <v>-2.0000000000000013</v>
      </c>
    </row>
    <row r="115" spans="2:9" x14ac:dyDescent="0.3">
      <c r="B115" t="s">
        <v>67</v>
      </c>
      <c r="D115" t="str" cm="1">
        <f t="array" ref="D115">_xll.RScript.Evaluate(B115)</f>
        <v>ev_5</v>
      </c>
      <c r="E115" t="str" cm="1">
        <f t="array" ref="E115:E116">_xll.RScript.Evaluate(D115)</f>
        <v>values</v>
      </c>
      <c r="G115" t="str" cm="1">
        <f t="array" ref="G115:G116">_xll.RScript.Evaluate("names(ev_5)")</f>
        <v>values</v>
      </c>
      <c r="H115" cm="1">
        <f t="array" ref="H115:I115">TRANSPOSE(_xll.RScript.Evaluate($D$115&amp;"$"&amp;G115))</f>
        <v>4.2360679774997898</v>
      </c>
      <c r="I115">
        <v>-0.23606797749978958</v>
      </c>
    </row>
    <row r="116" spans="2:9" x14ac:dyDescent="0.3">
      <c r="E116" t="str">
        <v>vectors</v>
      </c>
      <c r="G116" t="str">
        <v>vectors</v>
      </c>
      <c r="H116" cm="1">
        <f t="array" ref="H116:I117">TRANSPOSE(_xll.RScript.Evaluate($D$115&amp;"$"&amp;G116))</f>
        <v>0.95542256322023844</v>
      </c>
      <c r="I116">
        <v>0.29524180884432627</v>
      </c>
    </row>
    <row r="117" spans="2:9" x14ac:dyDescent="0.3">
      <c r="H117">
        <v>-0.77743752482113604</v>
      </c>
      <c r="I117">
        <v>0.62896016964509416</v>
      </c>
    </row>
    <row r="120" spans="2:9" x14ac:dyDescent="0.3">
      <c r="B120" t="s">
        <v>68</v>
      </c>
      <c r="D120" t="str" cm="1">
        <f t="array" ref="D120">_xll.RScript.Evaluate(B120)</f>
        <v>statefr_5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CE7A-492B-4493-BDB7-9E266587B0E3}">
  <dimension ref="B2:CZ55"/>
  <sheetViews>
    <sheetView topLeftCell="A39" workbookViewId="0">
      <selection activeCell="D53" sqref="D53"/>
    </sheetView>
  </sheetViews>
  <sheetFormatPr defaultRowHeight="14.4" x14ac:dyDescent="0.3"/>
  <cols>
    <col min="2" max="2" width="44.44140625" customWidth="1"/>
    <col min="4" max="4" width="17.109375" customWidth="1"/>
    <col min="7" max="7" width="10.5546875" customWidth="1"/>
    <col min="8" max="8" width="9.33203125" customWidth="1"/>
  </cols>
  <sheetData>
    <row r="2" spans="2:15" ht="28.8" x14ac:dyDescent="0.3">
      <c r="B2" s="3" t="s">
        <v>69</v>
      </c>
      <c r="D2" t="str" cm="1">
        <f t="array" ref="D2">_xll.RScript.Evaluate(B2)</f>
        <v>list_61</v>
      </c>
      <c r="E2" t="str" cm="1">
        <f t="array" ref="E2:H2">TRANSPOSE(_xll.RScript.Evaluate("names(list_61)"))</f>
        <v>name</v>
      </c>
      <c r="F2" t="str">
        <v>wife</v>
      </c>
      <c r="G2" t="str">
        <v>no.children</v>
      </c>
      <c r="H2" t="str">
        <v>child.ages</v>
      </c>
      <c r="K2" t="str" cm="1">
        <f t="array" ref="K2:K5">_xll.RScript.Evaluate(D2)</f>
        <v>name</v>
      </c>
    </row>
    <row r="3" spans="2:15" x14ac:dyDescent="0.3">
      <c r="K3" t="str">
        <v>wife</v>
      </c>
    </row>
    <row r="4" spans="2:15" x14ac:dyDescent="0.3">
      <c r="D4" t="s">
        <v>70</v>
      </c>
      <c r="E4" t="str" cm="1">
        <f t="array" ref="E4">TRANSPOSE(_xll.RScript.Evaluate(D4))</f>
        <v>Fred</v>
      </c>
      <c r="K4" t="str">
        <v>no.children</v>
      </c>
    </row>
    <row r="5" spans="2:15" x14ac:dyDescent="0.3">
      <c r="D5" t="s">
        <v>71</v>
      </c>
      <c r="E5" t="str" cm="1">
        <f t="array" ref="E5">TRANSPOSE(_xll.RScript.Evaluate(D5))</f>
        <v>Mary</v>
      </c>
      <c r="K5" t="str">
        <v>child.ages</v>
      </c>
    </row>
    <row r="6" spans="2:15" x14ac:dyDescent="0.3">
      <c r="D6" t="s">
        <v>72</v>
      </c>
      <c r="E6" cm="1">
        <f t="array" ref="E6">TRANSPOSE(_xll.RScript.Evaluate(D6))</f>
        <v>3</v>
      </c>
    </row>
    <row r="7" spans="2:15" x14ac:dyDescent="0.3">
      <c r="D7" t="s">
        <v>73</v>
      </c>
      <c r="E7" cm="1">
        <f t="array" ref="E7:G7">TRANSPOSE(_xll.RScript.Evaluate(D7))</f>
        <v>4</v>
      </c>
      <c r="F7">
        <v>7</v>
      </c>
      <c r="G7">
        <v>9</v>
      </c>
    </row>
    <row r="8" spans="2:15" x14ac:dyDescent="0.3">
      <c r="D8" t="s">
        <v>74</v>
      </c>
      <c r="E8" cm="1">
        <f t="array" ref="E8">TRANSPOSE(_xll.RScript.Evaluate(D8))</f>
        <v>7</v>
      </c>
    </row>
    <row r="10" spans="2:15" x14ac:dyDescent="0.3">
      <c r="D10" t="str">
        <f>"list_61$"&amp;E2</f>
        <v>list_61$name</v>
      </c>
      <c r="E10" t="str" cm="1">
        <f t="array" ref="E10">TRANSPOSE(_xll.RScript.Evaluate(D10))</f>
        <v>Fred</v>
      </c>
    </row>
    <row r="11" spans="2:15" x14ac:dyDescent="0.3">
      <c r="D11" t="str">
        <f>"list_61$"&amp;F2</f>
        <v>list_61$wife</v>
      </c>
      <c r="E11" t="str" cm="1">
        <f t="array" ref="E11">TRANSPOSE(_xll.RScript.Evaluate(D11))</f>
        <v>Mary</v>
      </c>
    </row>
    <row r="12" spans="2:15" x14ac:dyDescent="0.3">
      <c r="D12" t="str">
        <f>"list_61$"&amp;G2</f>
        <v>list_61$no.children</v>
      </c>
      <c r="E12" cm="1">
        <f t="array" ref="E12">TRANSPOSE(_xll.RScript.Evaluate(D12))</f>
        <v>3</v>
      </c>
    </row>
    <row r="13" spans="2:15" x14ac:dyDescent="0.3">
      <c r="D13" t="str">
        <f>"list_61$"&amp;H2</f>
        <v>list_61$child.ages</v>
      </c>
      <c r="E13" cm="1">
        <f t="array" ref="E13:G13">TRANSPOSE(_xll.RScript.Evaluate(D13))</f>
        <v>4</v>
      </c>
      <c r="F13">
        <v>7</v>
      </c>
      <c r="G13">
        <v>9</v>
      </c>
    </row>
    <row r="15" spans="2:15" x14ac:dyDescent="0.3">
      <c r="B15" t="s">
        <v>158</v>
      </c>
    </row>
    <row r="16" spans="2:15" x14ac:dyDescent="0.3">
      <c r="B16" t="s">
        <v>75</v>
      </c>
      <c r="E16" t="str" cm="1">
        <f t="array" ref="E16:O16">TRANSPOSE(_xll.RScript.Evaluate(B16))</f>
        <v>am</v>
      </c>
      <c r="F16" t="str">
        <v>carb</v>
      </c>
      <c r="G16" t="str">
        <v>cyl</v>
      </c>
      <c r="H16" t="str">
        <v>disp</v>
      </c>
      <c r="I16" t="str">
        <v>drat</v>
      </c>
      <c r="J16" t="str">
        <v>gear</v>
      </c>
      <c r="K16" t="str">
        <v>hp</v>
      </c>
      <c r="L16" t="str">
        <v>mpg</v>
      </c>
      <c r="M16" t="str">
        <v>qsec</v>
      </c>
      <c r="N16" t="str">
        <v>vs</v>
      </c>
      <c r="O16" t="str">
        <v>wt</v>
      </c>
    </row>
    <row r="17" spans="5:15" x14ac:dyDescent="0.3">
      <c r="E17" cm="1">
        <f t="array" ref="E17:E48">_xll.RScript.Evaluate(E16)</f>
        <v>1</v>
      </c>
      <c r="F17" cm="1">
        <f t="array" ref="F17:F48">_xll.RScript.Evaluate(F16)</f>
        <v>4</v>
      </c>
      <c r="G17" cm="1">
        <f t="array" ref="G17:G48">_xll.RScript.Evaluate(G16)</f>
        <v>6</v>
      </c>
      <c r="H17" cm="1">
        <f t="array" ref="H17:H48">_xll.RScript.Evaluate(H16)</f>
        <v>160</v>
      </c>
      <c r="I17" cm="1">
        <f t="array" ref="I17:I48">_xll.RScript.Evaluate(I16)</f>
        <v>3.9</v>
      </c>
      <c r="J17" cm="1">
        <f t="array" ref="J17:J48">_xll.RScript.Evaluate(J16)</f>
        <v>4</v>
      </c>
      <c r="K17" cm="1">
        <f t="array" ref="K17:K48">_xll.RScript.Evaluate(K16)</f>
        <v>110</v>
      </c>
      <c r="L17" cm="1">
        <f t="array" ref="L17:L48">_xll.RScript.Evaluate(L16)</f>
        <v>21</v>
      </c>
      <c r="M17" cm="1">
        <f t="array" ref="M17:M48">_xll.RScript.Evaluate(M16)</f>
        <v>16.46</v>
      </c>
      <c r="N17" cm="1">
        <f t="array" ref="N17:N48">_xll.RScript.Evaluate(N16)</f>
        <v>0</v>
      </c>
      <c r="O17" cm="1">
        <f t="array" ref="O17:O48">_xll.RScript.Evaluate(O16)</f>
        <v>2.62</v>
      </c>
    </row>
    <row r="18" spans="5:15" x14ac:dyDescent="0.3">
      <c r="E18">
        <v>1</v>
      </c>
      <c r="F18">
        <v>4</v>
      </c>
      <c r="G18">
        <v>6</v>
      </c>
      <c r="H18">
        <v>160</v>
      </c>
      <c r="I18">
        <v>3.9</v>
      </c>
      <c r="J18">
        <v>4</v>
      </c>
      <c r="K18">
        <v>110</v>
      </c>
      <c r="L18">
        <v>21</v>
      </c>
      <c r="M18">
        <v>17.02</v>
      </c>
      <c r="N18">
        <v>0</v>
      </c>
      <c r="O18">
        <v>2.875</v>
      </c>
    </row>
    <row r="19" spans="5:15" x14ac:dyDescent="0.3">
      <c r="E19">
        <v>1</v>
      </c>
      <c r="F19">
        <v>1</v>
      </c>
      <c r="G19">
        <v>4</v>
      </c>
      <c r="H19">
        <v>108</v>
      </c>
      <c r="I19">
        <v>3.85</v>
      </c>
      <c r="J19">
        <v>4</v>
      </c>
      <c r="K19">
        <v>93</v>
      </c>
      <c r="L19">
        <v>22.8</v>
      </c>
      <c r="M19">
        <v>18.61</v>
      </c>
      <c r="N19">
        <v>1</v>
      </c>
      <c r="O19">
        <v>2.3199999999999998</v>
      </c>
    </row>
    <row r="20" spans="5:15" x14ac:dyDescent="0.3">
      <c r="E20">
        <v>0</v>
      </c>
      <c r="F20">
        <v>1</v>
      </c>
      <c r="G20">
        <v>6</v>
      </c>
      <c r="H20">
        <v>258</v>
      </c>
      <c r="I20">
        <v>3.08</v>
      </c>
      <c r="J20">
        <v>3</v>
      </c>
      <c r="K20">
        <v>110</v>
      </c>
      <c r="L20">
        <v>21.4</v>
      </c>
      <c r="M20">
        <v>19.440000000000001</v>
      </c>
      <c r="N20">
        <v>1</v>
      </c>
      <c r="O20">
        <v>3.2149999999999999</v>
      </c>
    </row>
    <row r="21" spans="5:15" x14ac:dyDescent="0.3">
      <c r="E21">
        <v>0</v>
      </c>
      <c r="F21">
        <v>2</v>
      </c>
      <c r="G21">
        <v>8</v>
      </c>
      <c r="H21">
        <v>360</v>
      </c>
      <c r="I21">
        <v>3.15</v>
      </c>
      <c r="J21">
        <v>3</v>
      </c>
      <c r="K21">
        <v>175</v>
      </c>
      <c r="L21">
        <v>18.7</v>
      </c>
      <c r="M21">
        <v>17.02</v>
      </c>
      <c r="N21">
        <v>0</v>
      </c>
      <c r="O21">
        <v>3.44</v>
      </c>
    </row>
    <row r="22" spans="5:15" x14ac:dyDescent="0.3">
      <c r="E22">
        <v>0</v>
      </c>
      <c r="F22">
        <v>1</v>
      </c>
      <c r="G22">
        <v>6</v>
      </c>
      <c r="H22">
        <v>225</v>
      </c>
      <c r="I22">
        <v>2.76</v>
      </c>
      <c r="J22">
        <v>3</v>
      </c>
      <c r="K22">
        <v>105</v>
      </c>
      <c r="L22">
        <v>18.100000000000001</v>
      </c>
      <c r="M22">
        <v>20.22</v>
      </c>
      <c r="N22">
        <v>1</v>
      </c>
      <c r="O22">
        <v>3.46</v>
      </c>
    </row>
    <row r="23" spans="5:15" x14ac:dyDescent="0.3">
      <c r="E23">
        <v>0</v>
      </c>
      <c r="F23">
        <v>4</v>
      </c>
      <c r="G23">
        <v>8</v>
      </c>
      <c r="H23">
        <v>360</v>
      </c>
      <c r="I23">
        <v>3.21</v>
      </c>
      <c r="J23">
        <v>3</v>
      </c>
      <c r="K23">
        <v>245</v>
      </c>
      <c r="L23">
        <v>14.3</v>
      </c>
      <c r="M23">
        <v>15.84</v>
      </c>
      <c r="N23">
        <v>0</v>
      </c>
      <c r="O23">
        <v>3.57</v>
      </c>
    </row>
    <row r="24" spans="5:15" x14ac:dyDescent="0.3">
      <c r="E24">
        <v>0</v>
      </c>
      <c r="F24">
        <v>2</v>
      </c>
      <c r="G24">
        <v>4</v>
      </c>
      <c r="H24">
        <v>146.69999999999999</v>
      </c>
      <c r="I24">
        <v>3.69</v>
      </c>
      <c r="J24">
        <v>4</v>
      </c>
      <c r="K24">
        <v>62</v>
      </c>
      <c r="L24">
        <v>24.4</v>
      </c>
      <c r="M24">
        <v>20</v>
      </c>
      <c r="N24">
        <v>1</v>
      </c>
      <c r="O24">
        <v>3.19</v>
      </c>
    </row>
    <row r="25" spans="5:15" x14ac:dyDescent="0.3">
      <c r="E25">
        <v>0</v>
      </c>
      <c r="F25">
        <v>2</v>
      </c>
      <c r="G25">
        <v>4</v>
      </c>
      <c r="H25">
        <v>140.80000000000001</v>
      </c>
      <c r="I25">
        <v>3.92</v>
      </c>
      <c r="J25">
        <v>4</v>
      </c>
      <c r="K25">
        <v>95</v>
      </c>
      <c r="L25">
        <v>22.8</v>
      </c>
      <c r="M25">
        <v>22.9</v>
      </c>
      <c r="N25">
        <v>1</v>
      </c>
      <c r="O25">
        <v>3.15</v>
      </c>
    </row>
    <row r="26" spans="5:15" x14ac:dyDescent="0.3">
      <c r="E26">
        <v>0</v>
      </c>
      <c r="F26">
        <v>4</v>
      </c>
      <c r="G26">
        <v>6</v>
      </c>
      <c r="H26">
        <v>167.6</v>
      </c>
      <c r="I26">
        <v>3.92</v>
      </c>
      <c r="J26">
        <v>4</v>
      </c>
      <c r="K26">
        <v>123</v>
      </c>
      <c r="L26">
        <v>19.2</v>
      </c>
      <c r="M26">
        <v>18.3</v>
      </c>
      <c r="N26">
        <v>1</v>
      </c>
      <c r="O26">
        <v>3.44</v>
      </c>
    </row>
    <row r="27" spans="5:15" x14ac:dyDescent="0.3">
      <c r="E27">
        <v>0</v>
      </c>
      <c r="F27">
        <v>4</v>
      </c>
      <c r="G27">
        <v>6</v>
      </c>
      <c r="H27">
        <v>167.6</v>
      </c>
      <c r="I27">
        <v>3.92</v>
      </c>
      <c r="J27">
        <v>4</v>
      </c>
      <c r="K27">
        <v>123</v>
      </c>
      <c r="L27">
        <v>17.8</v>
      </c>
      <c r="M27">
        <v>18.899999999999999</v>
      </c>
      <c r="N27">
        <v>1</v>
      </c>
      <c r="O27">
        <v>3.44</v>
      </c>
    </row>
    <row r="28" spans="5:15" x14ac:dyDescent="0.3">
      <c r="E28">
        <v>0</v>
      </c>
      <c r="F28">
        <v>3</v>
      </c>
      <c r="G28">
        <v>8</v>
      </c>
      <c r="H28">
        <v>275.8</v>
      </c>
      <c r="I28">
        <v>3.07</v>
      </c>
      <c r="J28">
        <v>3</v>
      </c>
      <c r="K28">
        <v>180</v>
      </c>
      <c r="L28">
        <v>16.399999999999999</v>
      </c>
      <c r="M28">
        <v>17.399999999999999</v>
      </c>
      <c r="N28">
        <v>0</v>
      </c>
      <c r="O28">
        <v>4.07</v>
      </c>
    </row>
    <row r="29" spans="5:15" x14ac:dyDescent="0.3">
      <c r="E29">
        <v>0</v>
      </c>
      <c r="F29">
        <v>3</v>
      </c>
      <c r="G29">
        <v>8</v>
      </c>
      <c r="H29">
        <v>275.8</v>
      </c>
      <c r="I29">
        <v>3.07</v>
      </c>
      <c r="J29">
        <v>3</v>
      </c>
      <c r="K29">
        <v>180</v>
      </c>
      <c r="L29">
        <v>17.3</v>
      </c>
      <c r="M29">
        <v>17.600000000000001</v>
      </c>
      <c r="N29">
        <v>0</v>
      </c>
      <c r="O29">
        <v>3.73</v>
      </c>
    </row>
    <row r="30" spans="5:15" x14ac:dyDescent="0.3">
      <c r="E30">
        <v>0</v>
      </c>
      <c r="F30">
        <v>3</v>
      </c>
      <c r="G30">
        <v>8</v>
      </c>
      <c r="H30">
        <v>275.8</v>
      </c>
      <c r="I30">
        <v>3.07</v>
      </c>
      <c r="J30">
        <v>3</v>
      </c>
      <c r="K30">
        <v>180</v>
      </c>
      <c r="L30">
        <v>15.2</v>
      </c>
      <c r="M30">
        <v>18</v>
      </c>
      <c r="N30">
        <v>0</v>
      </c>
      <c r="O30">
        <v>3.78</v>
      </c>
    </row>
    <row r="31" spans="5:15" x14ac:dyDescent="0.3">
      <c r="E31">
        <v>0</v>
      </c>
      <c r="F31">
        <v>4</v>
      </c>
      <c r="G31">
        <v>8</v>
      </c>
      <c r="H31">
        <v>472</v>
      </c>
      <c r="I31">
        <v>2.93</v>
      </c>
      <c r="J31">
        <v>3</v>
      </c>
      <c r="K31">
        <v>205</v>
      </c>
      <c r="L31">
        <v>10.4</v>
      </c>
      <c r="M31">
        <v>17.98</v>
      </c>
      <c r="N31">
        <v>0</v>
      </c>
      <c r="O31">
        <v>5.25</v>
      </c>
    </row>
    <row r="32" spans="5:15" x14ac:dyDescent="0.3">
      <c r="E32">
        <v>0</v>
      </c>
      <c r="F32">
        <v>4</v>
      </c>
      <c r="G32">
        <v>8</v>
      </c>
      <c r="H32">
        <v>460</v>
      </c>
      <c r="I32">
        <v>3</v>
      </c>
      <c r="J32">
        <v>3</v>
      </c>
      <c r="K32">
        <v>215</v>
      </c>
      <c r="L32">
        <v>10.4</v>
      </c>
      <c r="M32">
        <v>17.82</v>
      </c>
      <c r="N32">
        <v>0</v>
      </c>
      <c r="O32">
        <v>5.4240000000000004</v>
      </c>
    </row>
    <row r="33" spans="5:15" x14ac:dyDescent="0.3">
      <c r="E33">
        <v>0</v>
      </c>
      <c r="F33">
        <v>4</v>
      </c>
      <c r="G33">
        <v>8</v>
      </c>
      <c r="H33">
        <v>440</v>
      </c>
      <c r="I33">
        <v>3.23</v>
      </c>
      <c r="J33">
        <v>3</v>
      </c>
      <c r="K33">
        <v>230</v>
      </c>
      <c r="L33">
        <v>14.7</v>
      </c>
      <c r="M33">
        <v>17.420000000000002</v>
      </c>
      <c r="N33">
        <v>0</v>
      </c>
      <c r="O33">
        <v>5.3449999999999998</v>
      </c>
    </row>
    <row r="34" spans="5:15" x14ac:dyDescent="0.3">
      <c r="E34">
        <v>1</v>
      </c>
      <c r="F34">
        <v>1</v>
      </c>
      <c r="G34">
        <v>4</v>
      </c>
      <c r="H34">
        <v>78.7</v>
      </c>
      <c r="I34">
        <v>4.08</v>
      </c>
      <c r="J34">
        <v>4</v>
      </c>
      <c r="K34">
        <v>66</v>
      </c>
      <c r="L34">
        <v>32.4</v>
      </c>
      <c r="M34">
        <v>19.47</v>
      </c>
      <c r="N34">
        <v>1</v>
      </c>
      <c r="O34">
        <v>2.2000000000000002</v>
      </c>
    </row>
    <row r="35" spans="5:15" x14ac:dyDescent="0.3">
      <c r="E35">
        <v>1</v>
      </c>
      <c r="F35">
        <v>2</v>
      </c>
      <c r="G35">
        <v>4</v>
      </c>
      <c r="H35">
        <v>75.7</v>
      </c>
      <c r="I35">
        <v>4.93</v>
      </c>
      <c r="J35">
        <v>4</v>
      </c>
      <c r="K35">
        <v>52</v>
      </c>
      <c r="L35">
        <v>30.4</v>
      </c>
      <c r="M35">
        <v>18.52</v>
      </c>
      <c r="N35">
        <v>1</v>
      </c>
      <c r="O35">
        <v>1.615</v>
      </c>
    </row>
    <row r="36" spans="5:15" x14ac:dyDescent="0.3">
      <c r="E36">
        <v>1</v>
      </c>
      <c r="F36">
        <v>1</v>
      </c>
      <c r="G36">
        <v>4</v>
      </c>
      <c r="H36">
        <v>71.099999999999994</v>
      </c>
      <c r="I36">
        <v>4.22</v>
      </c>
      <c r="J36">
        <v>4</v>
      </c>
      <c r="K36">
        <v>65</v>
      </c>
      <c r="L36">
        <v>33.9</v>
      </c>
      <c r="M36">
        <v>19.899999999999999</v>
      </c>
      <c r="N36">
        <v>1</v>
      </c>
      <c r="O36">
        <v>1.835</v>
      </c>
    </row>
    <row r="37" spans="5:15" x14ac:dyDescent="0.3">
      <c r="E37">
        <v>0</v>
      </c>
      <c r="F37">
        <v>1</v>
      </c>
      <c r="G37">
        <v>4</v>
      </c>
      <c r="H37">
        <v>120.1</v>
      </c>
      <c r="I37">
        <v>3.7</v>
      </c>
      <c r="J37">
        <v>3</v>
      </c>
      <c r="K37">
        <v>97</v>
      </c>
      <c r="L37">
        <v>21.5</v>
      </c>
      <c r="M37">
        <v>20.010000000000002</v>
      </c>
      <c r="N37">
        <v>1</v>
      </c>
      <c r="O37">
        <v>2.4649999999999999</v>
      </c>
    </row>
    <row r="38" spans="5:15" x14ac:dyDescent="0.3">
      <c r="E38">
        <v>0</v>
      </c>
      <c r="F38">
        <v>2</v>
      </c>
      <c r="G38">
        <v>8</v>
      </c>
      <c r="H38">
        <v>318</v>
      </c>
      <c r="I38">
        <v>2.76</v>
      </c>
      <c r="J38">
        <v>3</v>
      </c>
      <c r="K38">
        <v>150</v>
      </c>
      <c r="L38">
        <v>15.5</v>
      </c>
      <c r="M38">
        <v>16.87</v>
      </c>
      <c r="N38">
        <v>0</v>
      </c>
      <c r="O38">
        <v>3.52</v>
      </c>
    </row>
    <row r="39" spans="5:15" x14ac:dyDescent="0.3">
      <c r="E39">
        <v>0</v>
      </c>
      <c r="F39">
        <v>2</v>
      </c>
      <c r="G39">
        <v>8</v>
      </c>
      <c r="H39">
        <v>304</v>
      </c>
      <c r="I39">
        <v>3.15</v>
      </c>
      <c r="J39">
        <v>3</v>
      </c>
      <c r="K39">
        <v>150</v>
      </c>
      <c r="L39">
        <v>15.2</v>
      </c>
      <c r="M39">
        <v>17.3</v>
      </c>
      <c r="N39">
        <v>0</v>
      </c>
      <c r="O39">
        <v>3.4350000000000001</v>
      </c>
    </row>
    <row r="40" spans="5:15" x14ac:dyDescent="0.3">
      <c r="E40">
        <v>0</v>
      </c>
      <c r="F40">
        <v>4</v>
      </c>
      <c r="G40">
        <v>8</v>
      </c>
      <c r="H40">
        <v>350</v>
      </c>
      <c r="I40">
        <v>3.73</v>
      </c>
      <c r="J40">
        <v>3</v>
      </c>
      <c r="K40">
        <v>245</v>
      </c>
      <c r="L40">
        <v>13.3</v>
      </c>
      <c r="M40">
        <v>15.41</v>
      </c>
      <c r="N40">
        <v>0</v>
      </c>
      <c r="O40">
        <v>3.84</v>
      </c>
    </row>
    <row r="41" spans="5:15" x14ac:dyDescent="0.3">
      <c r="E41">
        <v>0</v>
      </c>
      <c r="F41">
        <v>2</v>
      </c>
      <c r="G41">
        <v>8</v>
      </c>
      <c r="H41">
        <v>400</v>
      </c>
      <c r="I41">
        <v>3.08</v>
      </c>
      <c r="J41">
        <v>3</v>
      </c>
      <c r="K41">
        <v>175</v>
      </c>
      <c r="L41">
        <v>19.2</v>
      </c>
      <c r="M41">
        <v>17.05</v>
      </c>
      <c r="N41">
        <v>0</v>
      </c>
      <c r="O41">
        <v>3.8450000000000002</v>
      </c>
    </row>
    <row r="42" spans="5:15" x14ac:dyDescent="0.3">
      <c r="E42">
        <v>1</v>
      </c>
      <c r="F42">
        <v>1</v>
      </c>
      <c r="G42">
        <v>4</v>
      </c>
      <c r="H42">
        <v>79</v>
      </c>
      <c r="I42">
        <v>4.08</v>
      </c>
      <c r="J42">
        <v>4</v>
      </c>
      <c r="K42">
        <v>66</v>
      </c>
      <c r="L42">
        <v>27.3</v>
      </c>
      <c r="M42">
        <v>18.899999999999999</v>
      </c>
      <c r="N42">
        <v>1</v>
      </c>
      <c r="O42">
        <v>1.9350000000000001</v>
      </c>
    </row>
    <row r="43" spans="5:15" x14ac:dyDescent="0.3">
      <c r="E43">
        <v>1</v>
      </c>
      <c r="F43">
        <v>2</v>
      </c>
      <c r="G43">
        <v>4</v>
      </c>
      <c r="H43">
        <v>120.3</v>
      </c>
      <c r="I43">
        <v>4.43</v>
      </c>
      <c r="J43">
        <v>5</v>
      </c>
      <c r="K43">
        <v>91</v>
      </c>
      <c r="L43">
        <v>26</v>
      </c>
      <c r="M43">
        <v>16.7</v>
      </c>
      <c r="N43">
        <v>0</v>
      </c>
      <c r="O43">
        <v>2.14</v>
      </c>
    </row>
    <row r="44" spans="5:15" x14ac:dyDescent="0.3">
      <c r="E44">
        <v>1</v>
      </c>
      <c r="F44">
        <v>2</v>
      </c>
      <c r="G44">
        <v>4</v>
      </c>
      <c r="H44">
        <v>95.1</v>
      </c>
      <c r="I44">
        <v>3.77</v>
      </c>
      <c r="J44">
        <v>5</v>
      </c>
      <c r="K44">
        <v>113</v>
      </c>
      <c r="L44">
        <v>30.4</v>
      </c>
      <c r="M44">
        <v>16.899999999999999</v>
      </c>
      <c r="N44">
        <v>1</v>
      </c>
      <c r="O44">
        <v>1.5129999999999999</v>
      </c>
    </row>
    <row r="45" spans="5:15" x14ac:dyDescent="0.3">
      <c r="E45">
        <v>1</v>
      </c>
      <c r="F45">
        <v>4</v>
      </c>
      <c r="G45">
        <v>8</v>
      </c>
      <c r="H45">
        <v>351</v>
      </c>
      <c r="I45">
        <v>4.22</v>
      </c>
      <c r="J45">
        <v>5</v>
      </c>
      <c r="K45">
        <v>264</v>
      </c>
      <c r="L45">
        <v>15.8</v>
      </c>
      <c r="M45">
        <v>14.5</v>
      </c>
      <c r="N45">
        <v>0</v>
      </c>
      <c r="O45">
        <v>3.17</v>
      </c>
    </row>
    <row r="46" spans="5:15" x14ac:dyDescent="0.3">
      <c r="E46">
        <v>1</v>
      </c>
      <c r="F46">
        <v>6</v>
      </c>
      <c r="G46">
        <v>6</v>
      </c>
      <c r="H46">
        <v>145</v>
      </c>
      <c r="I46">
        <v>3.62</v>
      </c>
      <c r="J46">
        <v>5</v>
      </c>
      <c r="K46">
        <v>175</v>
      </c>
      <c r="L46">
        <v>19.7</v>
      </c>
      <c r="M46">
        <v>15.5</v>
      </c>
      <c r="N46">
        <v>0</v>
      </c>
      <c r="O46">
        <v>2.77</v>
      </c>
    </row>
    <row r="47" spans="5:15" x14ac:dyDescent="0.3">
      <c r="E47">
        <v>1</v>
      </c>
      <c r="F47">
        <v>8</v>
      </c>
      <c r="G47">
        <v>8</v>
      </c>
      <c r="H47">
        <v>301</v>
      </c>
      <c r="I47">
        <v>3.54</v>
      </c>
      <c r="J47">
        <v>5</v>
      </c>
      <c r="K47">
        <v>335</v>
      </c>
      <c r="L47">
        <v>15</v>
      </c>
      <c r="M47">
        <v>14.6</v>
      </c>
      <c r="N47">
        <v>0</v>
      </c>
      <c r="O47">
        <v>3.57</v>
      </c>
    </row>
    <row r="48" spans="5:15" x14ac:dyDescent="0.3">
      <c r="E48">
        <v>1</v>
      </c>
      <c r="F48">
        <v>2</v>
      </c>
      <c r="G48">
        <v>4</v>
      </c>
      <c r="H48">
        <v>121</v>
      </c>
      <c r="I48">
        <v>4.1100000000000003</v>
      </c>
      <c r="J48">
        <v>4</v>
      </c>
      <c r="K48">
        <v>109</v>
      </c>
      <c r="L48">
        <v>21.4</v>
      </c>
      <c r="M48">
        <v>18.600000000000001</v>
      </c>
      <c r="N48">
        <v>1</v>
      </c>
      <c r="O48">
        <v>2.78</v>
      </c>
    </row>
    <row r="50" spans="2:104" x14ac:dyDescent="0.3">
      <c r="B50" t="s">
        <v>76</v>
      </c>
      <c r="D50" s="5" t="str" cm="1">
        <f t="array" ref="D50:BM50">TRANSPOSE(_xll.RScript.Evaluate(B50))</f>
        <v>.GlobalEnv</v>
      </c>
      <c r="E50" t="str">
        <v>datasets::morley</v>
      </c>
      <c r="F50" t="str">
        <v>datasets::mtcars</v>
      </c>
      <c r="G50" t="str">
        <v>datasets::mtcars</v>
      </c>
      <c r="H50" t="str">
        <v>datasets::mtcars</v>
      </c>
      <c r="I50" t="str">
        <v>datasets::morley</v>
      </c>
      <c r="J50" t="str">
        <v>datasets::mtcars</v>
      </c>
      <c r="K50" t="str">
        <v>datasets::mtcars</v>
      </c>
      <c r="L50" t="str">
        <v>datasets::mtcars</v>
      </c>
      <c r="M50" t="str">
        <v>datasets::morley</v>
      </c>
      <c r="N50" t="str">
        <v>datasets::mtcars</v>
      </c>
      <c r="O50" t="str">
        <v>datasets::mtcars</v>
      </c>
      <c r="P50" t="str">
        <v>datasets::mtcars</v>
      </c>
      <c r="Q50" t="str">
        <v>datasets::morley</v>
      </c>
      <c r="R50" t="str">
        <v>datasets::mtcars</v>
      </c>
      <c r="S50" t="str">
        <v>datasets::mtcars</v>
      </c>
      <c r="T50" t="str">
        <v>datasets::mtcars</v>
      </c>
      <c r="U50" t="str">
        <v>datasets::morley</v>
      </c>
      <c r="V50" t="str">
        <v>datasets::mtcars</v>
      </c>
      <c r="W50" t="str">
        <v>datasets::mtcars</v>
      </c>
      <c r="X50" t="str">
        <v>datasets::mtcars</v>
      </c>
      <c r="Y50" t="str">
        <v>datasets::morley</v>
      </c>
      <c r="Z50" t="str">
        <v>datasets::mtcars</v>
      </c>
      <c r="AA50" t="str">
        <v>datasets::mtcars</v>
      </c>
      <c r="AB50" t="str">
        <v>datasets::mtcars</v>
      </c>
      <c r="AC50" t="str">
        <v>datasets::morley</v>
      </c>
      <c r="AD50" t="str">
        <v>datasets::mtcars</v>
      </c>
      <c r="AE50" t="str">
        <v>datasets::mtcars</v>
      </c>
      <c r="AF50" t="str">
        <v>datasets::mtcars</v>
      </c>
      <c r="AG50" t="str">
        <v>datasets::morley</v>
      </c>
      <c r="AH50" t="str">
        <v>datasets::mtcars</v>
      </c>
      <c r="AI50" t="str">
        <v>datasets::mtcars</v>
      </c>
      <c r="AJ50" t="str">
        <v>datasets::mtcars</v>
      </c>
      <c r="AK50" t="str">
        <v>datasets::morley</v>
      </c>
      <c r="AL50" t="str">
        <v>datasets::mtcars</v>
      </c>
      <c r="AM50" t="str">
        <v>datasets::mtcars</v>
      </c>
      <c r="AN50" t="str">
        <v>datasets::mtcars</v>
      </c>
      <c r="AO50" t="str">
        <v>datasets::morley</v>
      </c>
      <c r="AP50" t="str">
        <v>datasets::mtcars</v>
      </c>
      <c r="AQ50" t="str">
        <v>datasets::mtcars</v>
      </c>
      <c r="AR50" t="str">
        <v>datasets::mtcars</v>
      </c>
      <c r="AS50" t="str">
        <v>package:reticulate</v>
      </c>
      <c r="AT50" t="str">
        <v>package:ggthemes</v>
      </c>
      <c r="AU50" t="str">
        <v>package:forecast</v>
      </c>
      <c r="AV50" t="str">
        <v>package:lubridate</v>
      </c>
      <c r="AW50" t="str">
        <v>package:forcats</v>
      </c>
      <c r="AX50" t="str">
        <v>package:stringr</v>
      </c>
      <c r="AY50" t="str">
        <v>package:dplyr</v>
      </c>
      <c r="AZ50" t="str">
        <v>package:purrr</v>
      </c>
      <c r="BA50" t="str">
        <v>package:readr</v>
      </c>
      <c r="BB50" t="str">
        <v>package:tidyr</v>
      </c>
      <c r="BC50" t="str">
        <v>package:tibble</v>
      </c>
      <c r="BD50" t="str">
        <v>package:ggplot2</v>
      </c>
      <c r="BE50" t="str">
        <v>package:tidyverse</v>
      </c>
      <c r="BF50" t="str">
        <v>package:stats</v>
      </c>
      <c r="BG50" t="str">
        <v>package:graphics</v>
      </c>
      <c r="BH50" t="str">
        <v>package:grDevices</v>
      </c>
      <c r="BI50" t="str">
        <v>package:utils</v>
      </c>
      <c r="BJ50" t="str">
        <v>package:datasets</v>
      </c>
      <c r="BK50" t="str">
        <v>package:methods</v>
      </c>
      <c r="BL50" t="str">
        <v>Autoloads</v>
      </c>
      <c r="BM50" t="str">
        <v>package:base</v>
      </c>
    </row>
    <row r="53" spans="2:104" x14ac:dyDescent="0.3">
      <c r="B53" t="s">
        <v>157</v>
      </c>
      <c r="C53" t="str" cm="1">
        <f t="array" ref="C53">_xll.RScript.Evaluate(B53)</f>
        <v>e_6</v>
      </c>
      <c r="D53" t="str" cm="1">
        <f t="array" ref="D53:D55">_xll.RScript.Evaluate(C53)</f>
        <v>Expt</v>
      </c>
      <c r="E53" cm="1">
        <f t="array" ref="E53:CZ53">TRANSPOSE(_xll.RScript.Evaluate(D53))</f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3</v>
      </c>
      <c r="AT53">
        <v>3</v>
      </c>
      <c r="AU53">
        <v>3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3</v>
      </c>
      <c r="BG53">
        <v>3</v>
      </c>
      <c r="BH53">
        <v>3</v>
      </c>
      <c r="BI53">
        <v>3</v>
      </c>
      <c r="BJ53">
        <v>3</v>
      </c>
      <c r="BK53">
        <v>3</v>
      </c>
      <c r="BL53">
        <v>3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4</v>
      </c>
      <c r="CA53">
        <v>4</v>
      </c>
      <c r="CB53">
        <v>4</v>
      </c>
      <c r="CC53">
        <v>4</v>
      </c>
      <c r="CD53">
        <v>4</v>
      </c>
      <c r="CE53">
        <v>4</v>
      </c>
      <c r="CF53">
        <v>4</v>
      </c>
      <c r="CG53">
        <v>5</v>
      </c>
      <c r="CH53">
        <v>5</v>
      </c>
      <c r="CI53">
        <v>5</v>
      </c>
      <c r="CJ53">
        <v>5</v>
      </c>
      <c r="CK53">
        <v>5</v>
      </c>
      <c r="CL53">
        <v>5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  <c r="CZ53">
        <v>5</v>
      </c>
    </row>
    <row r="54" spans="2:104" x14ac:dyDescent="0.3">
      <c r="D54" t="str">
        <v>Run</v>
      </c>
      <c r="E54" cm="1">
        <f t="array" ref="E54:CZ54">TRANSPOSE(_xll.RScript.Evaluate(D54))</f>
        <v>1</v>
      </c>
      <c r="F54">
        <v>2</v>
      </c>
      <c r="G54">
        <v>3</v>
      </c>
      <c r="H54">
        <v>4</v>
      </c>
      <c r="I54">
        <v>5</v>
      </c>
      <c r="J54">
        <v>6</v>
      </c>
      <c r="K54">
        <v>7</v>
      </c>
      <c r="L54">
        <v>8</v>
      </c>
      <c r="M54">
        <v>9</v>
      </c>
      <c r="N54">
        <v>10</v>
      </c>
      <c r="O54">
        <v>11</v>
      </c>
      <c r="P54">
        <v>12</v>
      </c>
      <c r="Q54">
        <v>13</v>
      </c>
      <c r="R54">
        <v>14</v>
      </c>
      <c r="S54">
        <v>15</v>
      </c>
      <c r="T54">
        <v>16</v>
      </c>
      <c r="U54">
        <v>17</v>
      </c>
      <c r="V54">
        <v>18</v>
      </c>
      <c r="W54">
        <v>19</v>
      </c>
      <c r="X54">
        <v>20</v>
      </c>
      <c r="Y54">
        <v>1</v>
      </c>
      <c r="Z54">
        <v>2</v>
      </c>
      <c r="AA54">
        <v>3</v>
      </c>
      <c r="AB54">
        <v>4</v>
      </c>
      <c r="AC54">
        <v>5</v>
      </c>
      <c r="AD54">
        <v>6</v>
      </c>
      <c r="AE54">
        <v>7</v>
      </c>
      <c r="AF54">
        <v>8</v>
      </c>
      <c r="AG54">
        <v>9</v>
      </c>
      <c r="AH54">
        <v>10</v>
      </c>
      <c r="AI54">
        <v>11</v>
      </c>
      <c r="AJ54">
        <v>12</v>
      </c>
      <c r="AK54">
        <v>13</v>
      </c>
      <c r="AL54">
        <v>14</v>
      </c>
      <c r="AM54">
        <v>15</v>
      </c>
      <c r="AN54">
        <v>16</v>
      </c>
      <c r="AO54">
        <v>17</v>
      </c>
      <c r="AP54">
        <v>18</v>
      </c>
      <c r="AQ54">
        <v>19</v>
      </c>
      <c r="AR54">
        <v>20</v>
      </c>
      <c r="AS54">
        <v>1</v>
      </c>
      <c r="AT54">
        <v>2</v>
      </c>
      <c r="AU54">
        <v>3</v>
      </c>
      <c r="AV54">
        <v>4</v>
      </c>
      <c r="AW54">
        <v>5</v>
      </c>
      <c r="AX54">
        <v>6</v>
      </c>
      <c r="AY54">
        <v>7</v>
      </c>
      <c r="AZ54">
        <v>8</v>
      </c>
      <c r="BA54">
        <v>9</v>
      </c>
      <c r="BB54">
        <v>10</v>
      </c>
      <c r="BC54">
        <v>11</v>
      </c>
      <c r="BD54">
        <v>12</v>
      </c>
      <c r="BE54">
        <v>13</v>
      </c>
      <c r="BF54">
        <v>14</v>
      </c>
      <c r="BG54">
        <v>15</v>
      </c>
      <c r="BH54">
        <v>16</v>
      </c>
      <c r="BI54">
        <v>17</v>
      </c>
      <c r="BJ54">
        <v>18</v>
      </c>
      <c r="BK54">
        <v>19</v>
      </c>
      <c r="BL54">
        <v>20</v>
      </c>
      <c r="BM54">
        <v>1</v>
      </c>
      <c r="BN54">
        <v>2</v>
      </c>
      <c r="BO54">
        <v>3</v>
      </c>
      <c r="BP54">
        <v>4</v>
      </c>
      <c r="BQ54">
        <v>5</v>
      </c>
      <c r="BR54">
        <v>6</v>
      </c>
      <c r="BS54">
        <v>7</v>
      </c>
      <c r="BT54">
        <v>8</v>
      </c>
      <c r="BU54">
        <v>9</v>
      </c>
      <c r="BV54">
        <v>10</v>
      </c>
      <c r="BW54">
        <v>11</v>
      </c>
      <c r="BX54">
        <v>12</v>
      </c>
      <c r="BY54">
        <v>13</v>
      </c>
      <c r="BZ54">
        <v>14</v>
      </c>
      <c r="CA54">
        <v>15</v>
      </c>
      <c r="CB54">
        <v>16</v>
      </c>
      <c r="CC54">
        <v>17</v>
      </c>
      <c r="CD54">
        <v>18</v>
      </c>
      <c r="CE54">
        <v>19</v>
      </c>
      <c r="CF54">
        <v>20</v>
      </c>
      <c r="CG54">
        <v>1</v>
      </c>
      <c r="CH54">
        <v>2</v>
      </c>
      <c r="CI54">
        <v>3</v>
      </c>
      <c r="CJ54">
        <v>4</v>
      </c>
      <c r="CK54">
        <v>5</v>
      </c>
      <c r="CL54">
        <v>6</v>
      </c>
      <c r="CM54">
        <v>7</v>
      </c>
      <c r="CN54">
        <v>8</v>
      </c>
      <c r="CO54">
        <v>9</v>
      </c>
      <c r="CP54">
        <v>10</v>
      </c>
      <c r="CQ54">
        <v>11</v>
      </c>
      <c r="CR54">
        <v>12</v>
      </c>
      <c r="CS54">
        <v>13</v>
      </c>
      <c r="CT54">
        <v>14</v>
      </c>
      <c r="CU54">
        <v>15</v>
      </c>
      <c r="CV54">
        <v>16</v>
      </c>
      <c r="CW54">
        <v>17</v>
      </c>
      <c r="CX54">
        <v>18</v>
      </c>
      <c r="CY54">
        <v>19</v>
      </c>
      <c r="CZ54">
        <v>20</v>
      </c>
    </row>
    <row r="55" spans="2:104" x14ac:dyDescent="0.3">
      <c r="D55" t="str">
        <v>Speed</v>
      </c>
      <c r="E55" cm="1">
        <f t="array" ref="E55:CZ55">TRANSPOSE(_xll.RScript.Evaluate(D55))</f>
        <v>850</v>
      </c>
      <c r="F55">
        <v>740</v>
      </c>
      <c r="G55">
        <v>900</v>
      </c>
      <c r="H55">
        <v>1070</v>
      </c>
      <c r="I55">
        <v>930</v>
      </c>
      <c r="J55">
        <v>850</v>
      </c>
      <c r="K55">
        <v>950</v>
      </c>
      <c r="L55">
        <v>980</v>
      </c>
      <c r="M55">
        <v>980</v>
      </c>
      <c r="N55">
        <v>880</v>
      </c>
      <c r="O55">
        <v>1000</v>
      </c>
      <c r="P55">
        <v>980</v>
      </c>
      <c r="Q55">
        <v>930</v>
      </c>
      <c r="R55">
        <v>650</v>
      </c>
      <c r="S55">
        <v>760</v>
      </c>
      <c r="T55">
        <v>810</v>
      </c>
      <c r="U55">
        <v>1000</v>
      </c>
      <c r="V55">
        <v>1000</v>
      </c>
      <c r="W55">
        <v>960</v>
      </c>
      <c r="X55">
        <v>960</v>
      </c>
      <c r="Y55">
        <v>960</v>
      </c>
      <c r="Z55">
        <v>940</v>
      </c>
      <c r="AA55">
        <v>960</v>
      </c>
      <c r="AB55">
        <v>940</v>
      </c>
      <c r="AC55">
        <v>880</v>
      </c>
      <c r="AD55">
        <v>800</v>
      </c>
      <c r="AE55">
        <v>850</v>
      </c>
      <c r="AF55">
        <v>880</v>
      </c>
      <c r="AG55">
        <v>900</v>
      </c>
      <c r="AH55">
        <v>840</v>
      </c>
      <c r="AI55">
        <v>830</v>
      </c>
      <c r="AJ55">
        <v>790</v>
      </c>
      <c r="AK55">
        <v>810</v>
      </c>
      <c r="AL55">
        <v>880</v>
      </c>
      <c r="AM55">
        <v>880</v>
      </c>
      <c r="AN55">
        <v>830</v>
      </c>
      <c r="AO55">
        <v>800</v>
      </c>
      <c r="AP55">
        <v>790</v>
      </c>
      <c r="AQ55">
        <v>760</v>
      </c>
      <c r="AR55">
        <v>800</v>
      </c>
      <c r="AS55">
        <v>880</v>
      </c>
      <c r="AT55">
        <v>880</v>
      </c>
      <c r="AU55">
        <v>880</v>
      </c>
      <c r="AV55">
        <v>860</v>
      </c>
      <c r="AW55">
        <v>720</v>
      </c>
      <c r="AX55">
        <v>720</v>
      </c>
      <c r="AY55">
        <v>620</v>
      </c>
      <c r="AZ55">
        <v>860</v>
      </c>
      <c r="BA55">
        <v>970</v>
      </c>
      <c r="BB55">
        <v>950</v>
      </c>
      <c r="BC55">
        <v>880</v>
      </c>
      <c r="BD55">
        <v>910</v>
      </c>
      <c r="BE55">
        <v>850</v>
      </c>
      <c r="BF55">
        <v>870</v>
      </c>
      <c r="BG55">
        <v>840</v>
      </c>
      <c r="BH55">
        <v>840</v>
      </c>
      <c r="BI55">
        <v>850</v>
      </c>
      <c r="BJ55">
        <v>840</v>
      </c>
      <c r="BK55">
        <v>840</v>
      </c>
      <c r="BL55">
        <v>840</v>
      </c>
      <c r="BM55">
        <v>890</v>
      </c>
      <c r="BN55">
        <v>810</v>
      </c>
      <c r="BO55">
        <v>810</v>
      </c>
      <c r="BP55">
        <v>820</v>
      </c>
      <c r="BQ55">
        <v>800</v>
      </c>
      <c r="BR55">
        <v>770</v>
      </c>
      <c r="BS55">
        <v>760</v>
      </c>
      <c r="BT55">
        <v>740</v>
      </c>
      <c r="BU55">
        <v>750</v>
      </c>
      <c r="BV55">
        <v>760</v>
      </c>
      <c r="BW55">
        <v>910</v>
      </c>
      <c r="BX55">
        <v>920</v>
      </c>
      <c r="BY55">
        <v>890</v>
      </c>
      <c r="BZ55">
        <v>860</v>
      </c>
      <c r="CA55">
        <v>880</v>
      </c>
      <c r="CB55">
        <v>720</v>
      </c>
      <c r="CC55">
        <v>840</v>
      </c>
      <c r="CD55">
        <v>850</v>
      </c>
      <c r="CE55">
        <v>850</v>
      </c>
      <c r="CF55">
        <v>780</v>
      </c>
      <c r="CG55">
        <v>890</v>
      </c>
      <c r="CH55">
        <v>840</v>
      </c>
      <c r="CI55">
        <v>780</v>
      </c>
      <c r="CJ55">
        <v>810</v>
      </c>
      <c r="CK55">
        <v>760</v>
      </c>
      <c r="CL55">
        <v>810</v>
      </c>
      <c r="CM55">
        <v>790</v>
      </c>
      <c r="CN55">
        <v>810</v>
      </c>
      <c r="CO55">
        <v>820</v>
      </c>
      <c r="CP55">
        <v>850</v>
      </c>
      <c r="CQ55">
        <v>870</v>
      </c>
      <c r="CR55">
        <v>870</v>
      </c>
      <c r="CS55">
        <v>810</v>
      </c>
      <c r="CT55">
        <v>740</v>
      </c>
      <c r="CU55">
        <v>810</v>
      </c>
      <c r="CV55">
        <v>940</v>
      </c>
      <c r="CW55">
        <v>950</v>
      </c>
      <c r="CX55">
        <v>800</v>
      </c>
      <c r="CY55">
        <v>810</v>
      </c>
      <c r="CZ55">
        <v>870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1947-5514-4BAA-B6B5-657A6D1F4E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37A4-F82E-47FB-89BF-73E78598116D}">
  <dimension ref="B2:M353"/>
  <sheetViews>
    <sheetView topLeftCell="A16" workbookViewId="0">
      <selection activeCell="A34" sqref="A34"/>
    </sheetView>
  </sheetViews>
  <sheetFormatPr defaultRowHeight="14.4" x14ac:dyDescent="0.3"/>
  <cols>
    <col min="2" max="2" width="36.77734375" customWidth="1"/>
    <col min="3" max="3" width="10.44140625" customWidth="1"/>
    <col min="4" max="4" width="20.33203125" customWidth="1"/>
    <col min="5" max="5" width="12" customWidth="1"/>
    <col min="6" max="6" width="11.109375" customWidth="1"/>
  </cols>
  <sheetData>
    <row r="2" spans="2:4" x14ac:dyDescent="0.3">
      <c r="B2" t="s">
        <v>77</v>
      </c>
      <c r="C2" t="s">
        <v>130</v>
      </c>
      <c r="D2" t="s">
        <v>129</v>
      </c>
    </row>
    <row r="3" spans="2:4" x14ac:dyDescent="0.3">
      <c r="B3" t="s">
        <v>78</v>
      </c>
      <c r="C3" t="s">
        <v>78</v>
      </c>
      <c r="D3" t="s">
        <v>79</v>
      </c>
    </row>
    <row r="4" spans="2:4" x14ac:dyDescent="0.3">
      <c r="B4" t="s">
        <v>80</v>
      </c>
      <c r="C4" t="s">
        <v>81</v>
      </c>
      <c r="D4" t="s">
        <v>82</v>
      </c>
    </row>
    <row r="5" spans="2:4" x14ac:dyDescent="0.3">
      <c r="B5" t="s">
        <v>83</v>
      </c>
      <c r="C5" t="s">
        <v>84</v>
      </c>
      <c r="D5" t="s">
        <v>85</v>
      </c>
    </row>
    <row r="6" spans="2:4" x14ac:dyDescent="0.3">
      <c r="B6" t="s">
        <v>86</v>
      </c>
      <c r="C6" t="s">
        <v>87</v>
      </c>
      <c r="D6" t="s">
        <v>88</v>
      </c>
    </row>
    <row r="7" spans="2:4" x14ac:dyDescent="0.3">
      <c r="B7" t="s">
        <v>89</v>
      </c>
      <c r="C7" t="s">
        <v>90</v>
      </c>
      <c r="D7" t="s">
        <v>91</v>
      </c>
    </row>
    <row r="8" spans="2:4" x14ac:dyDescent="0.3">
      <c r="B8" t="s">
        <v>92</v>
      </c>
      <c r="C8" t="s">
        <v>93</v>
      </c>
      <c r="D8" t="s">
        <v>94</v>
      </c>
    </row>
    <row r="9" spans="2:4" x14ac:dyDescent="0.3">
      <c r="B9" t="s">
        <v>95</v>
      </c>
      <c r="C9" t="s">
        <v>95</v>
      </c>
      <c r="D9" t="s">
        <v>96</v>
      </c>
    </row>
    <row r="10" spans="2:4" x14ac:dyDescent="0.3">
      <c r="B10" t="s">
        <v>97</v>
      </c>
      <c r="C10" t="s">
        <v>98</v>
      </c>
      <c r="D10" t="s">
        <v>99</v>
      </c>
    </row>
    <row r="11" spans="2:4" x14ac:dyDescent="0.3">
      <c r="B11" t="s">
        <v>100</v>
      </c>
      <c r="C11" t="s">
        <v>101</v>
      </c>
      <c r="D11" t="s">
        <v>102</v>
      </c>
    </row>
    <row r="12" spans="2:4" x14ac:dyDescent="0.3">
      <c r="B12" t="s">
        <v>103</v>
      </c>
      <c r="C12" t="s">
        <v>104</v>
      </c>
      <c r="D12" t="s">
        <v>105</v>
      </c>
    </row>
    <row r="13" spans="2:4" x14ac:dyDescent="0.3">
      <c r="B13" t="s">
        <v>106</v>
      </c>
      <c r="C13" t="s">
        <v>107</v>
      </c>
      <c r="D13" t="s">
        <v>85</v>
      </c>
    </row>
    <row r="14" spans="2:4" x14ac:dyDescent="0.3">
      <c r="B14" t="s">
        <v>108</v>
      </c>
      <c r="C14" t="s">
        <v>109</v>
      </c>
      <c r="D14" t="s">
        <v>82</v>
      </c>
    </row>
    <row r="15" spans="2:4" x14ac:dyDescent="0.3">
      <c r="B15" t="s">
        <v>110</v>
      </c>
      <c r="C15" t="s">
        <v>111</v>
      </c>
      <c r="D15" t="s">
        <v>112</v>
      </c>
    </row>
    <row r="16" spans="2:4" x14ac:dyDescent="0.3">
      <c r="B16" t="s">
        <v>113</v>
      </c>
      <c r="C16" t="s">
        <v>114</v>
      </c>
      <c r="D16" t="s">
        <v>115</v>
      </c>
    </row>
    <row r="17" spans="2:13" x14ac:dyDescent="0.3">
      <c r="B17" t="s">
        <v>116</v>
      </c>
      <c r="C17" t="s">
        <v>117</v>
      </c>
      <c r="D17" t="s">
        <v>118</v>
      </c>
    </row>
    <row r="18" spans="2:13" x14ac:dyDescent="0.3">
      <c r="B18" t="s">
        <v>119</v>
      </c>
      <c r="C18" t="s">
        <v>120</v>
      </c>
      <c r="D18" t="s">
        <v>88</v>
      </c>
    </row>
    <row r="19" spans="2:13" x14ac:dyDescent="0.3">
      <c r="B19" t="s">
        <v>121</v>
      </c>
      <c r="C19" t="s">
        <v>122</v>
      </c>
      <c r="D19" t="s">
        <v>123</v>
      </c>
    </row>
    <row r="20" spans="2:13" x14ac:dyDescent="0.3">
      <c r="B20" t="s">
        <v>124</v>
      </c>
      <c r="C20" t="s">
        <v>125</v>
      </c>
      <c r="D20" t="s">
        <v>96</v>
      </c>
    </row>
    <row r="21" spans="2:13" x14ac:dyDescent="0.3">
      <c r="B21" t="s">
        <v>126</v>
      </c>
      <c r="C21" t="s">
        <v>127</v>
      </c>
      <c r="D21" t="s">
        <v>128</v>
      </c>
    </row>
    <row r="24" spans="2:13" x14ac:dyDescent="0.3">
      <c r="B24" t="s">
        <v>131</v>
      </c>
      <c r="D24" t="str" cm="1">
        <f t="array" ref="D24:F296">_xll.RScript.Evaluate(B24)</f>
        <v>Index</v>
      </c>
      <c r="E24" t="str">
        <v>eruptions</v>
      </c>
      <c r="F24" t="str">
        <v>waiting</v>
      </c>
      <c r="H24" t="str">
        <f>B24&amp;"$"&amp;E24</f>
        <v>datasets::faithful$eruptions</v>
      </c>
      <c r="J24" cm="1">
        <f t="array" ref="J24:J295">_xll.RScript.Evaluate(H24)</f>
        <v>3.6</v>
      </c>
      <c r="L24" t="str">
        <f>"summary("&amp;H24&amp;")"</f>
        <v>summary(datasets::faithful$eruptions)</v>
      </c>
    </row>
    <row r="25" spans="2:13" x14ac:dyDescent="0.3">
      <c r="D25" t="str">
        <v>1</v>
      </c>
      <c r="E25">
        <v>3.6</v>
      </c>
      <c r="F25">
        <v>79</v>
      </c>
      <c r="J25">
        <v>1.8</v>
      </c>
    </row>
    <row r="26" spans="2:13" x14ac:dyDescent="0.3">
      <c r="D26" t="str">
        <v>2</v>
      </c>
      <c r="E26">
        <v>1.8</v>
      </c>
      <c r="F26">
        <v>54</v>
      </c>
      <c r="J26">
        <v>3.3330000000000002</v>
      </c>
      <c r="L26" t="s">
        <v>132</v>
      </c>
      <c r="M26" cm="1">
        <f t="array" ref="M26:M31">_xll.RScript.Evaluate(L24)</f>
        <v>1.6</v>
      </c>
    </row>
    <row r="27" spans="2:13" x14ac:dyDescent="0.3">
      <c r="D27" t="str">
        <v>3</v>
      </c>
      <c r="E27">
        <v>3.3330000000000002</v>
      </c>
      <c r="F27">
        <v>74</v>
      </c>
      <c r="J27">
        <v>2.2829999999999999</v>
      </c>
      <c r="L27" t="s">
        <v>133</v>
      </c>
      <c r="M27">
        <v>2.16275</v>
      </c>
    </row>
    <row r="28" spans="2:13" x14ac:dyDescent="0.3">
      <c r="D28" t="str">
        <v>4</v>
      </c>
      <c r="E28">
        <v>2.2829999999999999</v>
      </c>
      <c r="F28">
        <v>62</v>
      </c>
      <c r="J28">
        <v>4.5330000000000004</v>
      </c>
      <c r="L28" t="s">
        <v>134</v>
      </c>
      <c r="M28">
        <v>4</v>
      </c>
    </row>
    <row r="29" spans="2:13" x14ac:dyDescent="0.3">
      <c r="D29" t="str">
        <v>5</v>
      </c>
      <c r="E29">
        <v>4.5330000000000004</v>
      </c>
      <c r="F29">
        <v>85</v>
      </c>
      <c r="J29">
        <v>2.883</v>
      </c>
      <c r="L29" t="s">
        <v>135</v>
      </c>
      <c r="M29">
        <v>3.487783088235294</v>
      </c>
    </row>
    <row r="30" spans="2:13" x14ac:dyDescent="0.3">
      <c r="D30" t="str">
        <v>6</v>
      </c>
      <c r="E30">
        <v>2.883</v>
      </c>
      <c r="F30">
        <v>55</v>
      </c>
      <c r="J30">
        <v>4.7</v>
      </c>
      <c r="L30" t="s">
        <v>136</v>
      </c>
      <c r="M30">
        <v>4.45425</v>
      </c>
    </row>
    <row r="31" spans="2:13" x14ac:dyDescent="0.3">
      <c r="D31" t="str">
        <v>7</v>
      </c>
      <c r="E31">
        <v>4.7</v>
      </c>
      <c r="F31">
        <v>88</v>
      </c>
      <c r="J31">
        <v>3.6</v>
      </c>
      <c r="L31" t="s">
        <v>137</v>
      </c>
      <c r="M31">
        <v>5.0999999999999996</v>
      </c>
    </row>
    <row r="32" spans="2:13" x14ac:dyDescent="0.3">
      <c r="D32" t="str">
        <v>8</v>
      </c>
      <c r="E32">
        <v>3.6</v>
      </c>
      <c r="F32">
        <v>85</v>
      </c>
      <c r="J32">
        <v>1.95</v>
      </c>
    </row>
    <row r="33" spans="4:10" x14ac:dyDescent="0.3">
      <c r="D33" t="str">
        <v>9</v>
      </c>
      <c r="E33">
        <v>1.95</v>
      </c>
      <c r="F33">
        <v>51</v>
      </c>
      <c r="J33">
        <v>4.3499999999999996</v>
      </c>
    </row>
    <row r="34" spans="4:10" x14ac:dyDescent="0.3">
      <c r="D34" t="str">
        <v>10</v>
      </c>
      <c r="E34">
        <v>4.3499999999999996</v>
      </c>
      <c r="F34">
        <v>85</v>
      </c>
      <c r="J34">
        <v>1.833</v>
      </c>
    </row>
    <row r="35" spans="4:10" x14ac:dyDescent="0.3">
      <c r="D35" t="str">
        <v>11</v>
      </c>
      <c r="E35">
        <v>1.833</v>
      </c>
      <c r="F35">
        <v>54</v>
      </c>
      <c r="J35">
        <v>3.9169999999999998</v>
      </c>
    </row>
    <row r="36" spans="4:10" x14ac:dyDescent="0.3">
      <c r="D36" t="str">
        <v>12</v>
      </c>
      <c r="E36">
        <v>3.9169999999999998</v>
      </c>
      <c r="F36">
        <v>84</v>
      </c>
      <c r="J36">
        <v>4.2</v>
      </c>
    </row>
    <row r="37" spans="4:10" x14ac:dyDescent="0.3">
      <c r="D37" t="str">
        <v>13</v>
      </c>
      <c r="E37">
        <v>4.2</v>
      </c>
      <c r="F37">
        <v>78</v>
      </c>
      <c r="J37">
        <v>1.75</v>
      </c>
    </row>
    <row r="38" spans="4:10" x14ac:dyDescent="0.3">
      <c r="D38" t="str">
        <v>14</v>
      </c>
      <c r="E38">
        <v>1.75</v>
      </c>
      <c r="F38">
        <v>47</v>
      </c>
      <c r="J38">
        <v>4.7</v>
      </c>
    </row>
    <row r="39" spans="4:10" x14ac:dyDescent="0.3">
      <c r="D39" t="str">
        <v>15</v>
      </c>
      <c r="E39">
        <v>4.7</v>
      </c>
      <c r="F39">
        <v>83</v>
      </c>
      <c r="J39">
        <v>2.1669999999999998</v>
      </c>
    </row>
    <row r="40" spans="4:10" x14ac:dyDescent="0.3">
      <c r="D40" t="str">
        <v>16</v>
      </c>
      <c r="E40">
        <v>2.1669999999999998</v>
      </c>
      <c r="F40">
        <v>52</v>
      </c>
      <c r="J40">
        <v>1.75</v>
      </c>
    </row>
    <row r="41" spans="4:10" x14ac:dyDescent="0.3">
      <c r="D41" t="str">
        <v>17</v>
      </c>
      <c r="E41">
        <v>1.75</v>
      </c>
      <c r="F41">
        <v>62</v>
      </c>
      <c r="J41">
        <v>4.8</v>
      </c>
    </row>
    <row r="42" spans="4:10" x14ac:dyDescent="0.3">
      <c r="D42" t="str">
        <v>18</v>
      </c>
      <c r="E42">
        <v>4.8</v>
      </c>
      <c r="F42">
        <v>84</v>
      </c>
      <c r="J42">
        <v>1.6</v>
      </c>
    </row>
    <row r="43" spans="4:10" x14ac:dyDescent="0.3">
      <c r="D43" t="str">
        <v>19</v>
      </c>
      <c r="E43">
        <v>1.6</v>
      </c>
      <c r="F43">
        <v>52</v>
      </c>
      <c r="J43">
        <v>4.25</v>
      </c>
    </row>
    <row r="44" spans="4:10" x14ac:dyDescent="0.3">
      <c r="D44" t="str">
        <v>20</v>
      </c>
      <c r="E44">
        <v>4.25</v>
      </c>
      <c r="F44">
        <v>79</v>
      </c>
      <c r="J44">
        <v>1.8</v>
      </c>
    </row>
    <row r="45" spans="4:10" x14ac:dyDescent="0.3">
      <c r="D45" t="str">
        <v>21</v>
      </c>
      <c r="E45">
        <v>1.8</v>
      </c>
      <c r="F45">
        <v>51</v>
      </c>
      <c r="J45">
        <v>1.75</v>
      </c>
    </row>
    <row r="46" spans="4:10" x14ac:dyDescent="0.3">
      <c r="D46" t="str">
        <v>22</v>
      </c>
      <c r="E46">
        <v>1.75</v>
      </c>
      <c r="F46">
        <v>47</v>
      </c>
      <c r="J46">
        <v>3.45</v>
      </c>
    </row>
    <row r="47" spans="4:10" x14ac:dyDescent="0.3">
      <c r="D47" t="str">
        <v>23</v>
      </c>
      <c r="E47">
        <v>3.45</v>
      </c>
      <c r="F47">
        <v>78</v>
      </c>
      <c r="J47">
        <v>3.0670000000000002</v>
      </c>
    </row>
    <row r="48" spans="4:10" x14ac:dyDescent="0.3">
      <c r="D48" t="str">
        <v>24</v>
      </c>
      <c r="E48">
        <v>3.0670000000000002</v>
      </c>
      <c r="F48">
        <v>69</v>
      </c>
      <c r="J48">
        <v>4.5330000000000004</v>
      </c>
    </row>
    <row r="49" spans="4:10" x14ac:dyDescent="0.3">
      <c r="D49" t="str">
        <v>25</v>
      </c>
      <c r="E49">
        <v>4.5330000000000004</v>
      </c>
      <c r="F49">
        <v>74</v>
      </c>
      <c r="J49">
        <v>3.6</v>
      </c>
    </row>
    <row r="50" spans="4:10" x14ac:dyDescent="0.3">
      <c r="D50" t="str">
        <v>26</v>
      </c>
      <c r="E50">
        <v>3.6</v>
      </c>
      <c r="F50">
        <v>83</v>
      </c>
      <c r="J50">
        <v>1.9670000000000001</v>
      </c>
    </row>
    <row r="51" spans="4:10" x14ac:dyDescent="0.3">
      <c r="D51" t="str">
        <v>27</v>
      </c>
      <c r="E51">
        <v>1.9670000000000001</v>
      </c>
      <c r="F51">
        <v>55</v>
      </c>
      <c r="J51">
        <v>4.0830000000000002</v>
      </c>
    </row>
    <row r="52" spans="4:10" x14ac:dyDescent="0.3">
      <c r="D52" t="str">
        <v>28</v>
      </c>
      <c r="E52">
        <v>4.0830000000000002</v>
      </c>
      <c r="F52">
        <v>76</v>
      </c>
      <c r="J52">
        <v>3.85</v>
      </c>
    </row>
    <row r="53" spans="4:10" x14ac:dyDescent="0.3">
      <c r="D53" t="str">
        <v>29</v>
      </c>
      <c r="E53">
        <v>3.85</v>
      </c>
      <c r="F53">
        <v>78</v>
      </c>
      <c r="J53">
        <v>4.4329999999999998</v>
      </c>
    </row>
    <row r="54" spans="4:10" x14ac:dyDescent="0.3">
      <c r="D54" t="str">
        <v>30</v>
      </c>
      <c r="E54">
        <v>4.4329999999999998</v>
      </c>
      <c r="F54">
        <v>79</v>
      </c>
      <c r="J54">
        <v>4.3</v>
      </c>
    </row>
    <row r="55" spans="4:10" x14ac:dyDescent="0.3">
      <c r="D55" t="str">
        <v>31</v>
      </c>
      <c r="E55">
        <v>4.3</v>
      </c>
      <c r="F55">
        <v>73</v>
      </c>
      <c r="J55">
        <v>4.4669999999999996</v>
      </c>
    </row>
    <row r="56" spans="4:10" x14ac:dyDescent="0.3">
      <c r="D56" t="str">
        <v>32</v>
      </c>
      <c r="E56">
        <v>4.4669999999999996</v>
      </c>
      <c r="F56">
        <v>77</v>
      </c>
      <c r="J56">
        <v>3.367</v>
      </c>
    </row>
    <row r="57" spans="4:10" x14ac:dyDescent="0.3">
      <c r="D57" t="str">
        <v>33</v>
      </c>
      <c r="E57">
        <v>3.367</v>
      </c>
      <c r="F57">
        <v>66</v>
      </c>
      <c r="J57">
        <v>4.0330000000000004</v>
      </c>
    </row>
    <row r="58" spans="4:10" x14ac:dyDescent="0.3">
      <c r="D58" t="str">
        <v>34</v>
      </c>
      <c r="E58">
        <v>4.0330000000000004</v>
      </c>
      <c r="F58">
        <v>80</v>
      </c>
      <c r="J58">
        <v>3.8330000000000002</v>
      </c>
    </row>
    <row r="59" spans="4:10" x14ac:dyDescent="0.3">
      <c r="D59" t="str">
        <v>35</v>
      </c>
      <c r="E59">
        <v>3.8330000000000002</v>
      </c>
      <c r="F59">
        <v>74</v>
      </c>
      <c r="J59">
        <v>2.0169999999999999</v>
      </c>
    </row>
    <row r="60" spans="4:10" x14ac:dyDescent="0.3">
      <c r="D60" t="str">
        <v>36</v>
      </c>
      <c r="E60">
        <v>2.0169999999999999</v>
      </c>
      <c r="F60">
        <v>52</v>
      </c>
      <c r="J60">
        <v>1.867</v>
      </c>
    </row>
    <row r="61" spans="4:10" x14ac:dyDescent="0.3">
      <c r="D61" t="str">
        <v>37</v>
      </c>
      <c r="E61">
        <v>1.867</v>
      </c>
      <c r="F61">
        <v>48</v>
      </c>
      <c r="J61">
        <v>4.8330000000000002</v>
      </c>
    </row>
    <row r="62" spans="4:10" x14ac:dyDescent="0.3">
      <c r="D62" t="str">
        <v>38</v>
      </c>
      <c r="E62">
        <v>4.8330000000000002</v>
      </c>
      <c r="F62">
        <v>80</v>
      </c>
      <c r="J62">
        <v>1.833</v>
      </c>
    </row>
    <row r="63" spans="4:10" x14ac:dyDescent="0.3">
      <c r="D63" t="str">
        <v>39</v>
      </c>
      <c r="E63">
        <v>1.833</v>
      </c>
      <c r="F63">
        <v>59</v>
      </c>
      <c r="J63">
        <v>4.7830000000000004</v>
      </c>
    </row>
    <row r="64" spans="4:10" x14ac:dyDescent="0.3">
      <c r="D64" t="str">
        <v>40</v>
      </c>
      <c r="E64">
        <v>4.7830000000000004</v>
      </c>
      <c r="F64">
        <v>90</v>
      </c>
      <c r="J64">
        <v>4.3499999999999996</v>
      </c>
    </row>
    <row r="65" spans="4:10" x14ac:dyDescent="0.3">
      <c r="D65" t="str">
        <v>41</v>
      </c>
      <c r="E65">
        <v>4.3499999999999996</v>
      </c>
      <c r="F65">
        <v>80</v>
      </c>
      <c r="J65">
        <v>1.883</v>
      </c>
    </row>
    <row r="66" spans="4:10" x14ac:dyDescent="0.3">
      <c r="D66" t="str">
        <v>42</v>
      </c>
      <c r="E66">
        <v>1.883</v>
      </c>
      <c r="F66">
        <v>58</v>
      </c>
      <c r="J66">
        <v>4.5670000000000002</v>
      </c>
    </row>
    <row r="67" spans="4:10" x14ac:dyDescent="0.3">
      <c r="D67" t="str">
        <v>43</v>
      </c>
      <c r="E67">
        <v>4.5670000000000002</v>
      </c>
      <c r="F67">
        <v>84</v>
      </c>
      <c r="J67">
        <v>1.75</v>
      </c>
    </row>
    <row r="68" spans="4:10" x14ac:dyDescent="0.3">
      <c r="D68" t="str">
        <v>44</v>
      </c>
      <c r="E68">
        <v>1.75</v>
      </c>
      <c r="F68">
        <v>58</v>
      </c>
      <c r="J68">
        <v>4.5330000000000004</v>
      </c>
    </row>
    <row r="69" spans="4:10" x14ac:dyDescent="0.3">
      <c r="D69" t="str">
        <v>45</v>
      </c>
      <c r="E69">
        <v>4.5330000000000004</v>
      </c>
      <c r="F69">
        <v>73</v>
      </c>
      <c r="J69">
        <v>3.3170000000000002</v>
      </c>
    </row>
    <row r="70" spans="4:10" x14ac:dyDescent="0.3">
      <c r="D70" t="str">
        <v>46</v>
      </c>
      <c r="E70">
        <v>3.3170000000000002</v>
      </c>
      <c r="F70">
        <v>83</v>
      </c>
      <c r="J70">
        <v>3.8330000000000002</v>
      </c>
    </row>
    <row r="71" spans="4:10" x14ac:dyDescent="0.3">
      <c r="D71" t="str">
        <v>47</v>
      </c>
      <c r="E71">
        <v>3.8330000000000002</v>
      </c>
      <c r="F71">
        <v>64</v>
      </c>
      <c r="J71">
        <v>2.1</v>
      </c>
    </row>
    <row r="72" spans="4:10" x14ac:dyDescent="0.3">
      <c r="D72" t="str">
        <v>48</v>
      </c>
      <c r="E72">
        <v>2.1</v>
      </c>
      <c r="F72">
        <v>53</v>
      </c>
      <c r="J72">
        <v>4.633</v>
      </c>
    </row>
    <row r="73" spans="4:10" x14ac:dyDescent="0.3">
      <c r="D73" t="str">
        <v>49</v>
      </c>
      <c r="E73">
        <v>4.633</v>
      </c>
      <c r="F73">
        <v>82</v>
      </c>
      <c r="J73">
        <v>2</v>
      </c>
    </row>
    <row r="74" spans="4:10" x14ac:dyDescent="0.3">
      <c r="D74" t="str">
        <v>50</v>
      </c>
      <c r="E74">
        <v>2</v>
      </c>
      <c r="F74">
        <v>59</v>
      </c>
      <c r="J74">
        <v>4.8</v>
      </c>
    </row>
    <row r="75" spans="4:10" x14ac:dyDescent="0.3">
      <c r="D75" t="str">
        <v>51</v>
      </c>
      <c r="E75">
        <v>4.8</v>
      </c>
      <c r="F75">
        <v>75</v>
      </c>
      <c r="J75">
        <v>4.7160000000000002</v>
      </c>
    </row>
    <row r="76" spans="4:10" x14ac:dyDescent="0.3">
      <c r="D76" t="str">
        <v>52</v>
      </c>
      <c r="E76">
        <v>4.7160000000000002</v>
      </c>
      <c r="F76">
        <v>90</v>
      </c>
      <c r="J76">
        <v>1.833</v>
      </c>
    </row>
    <row r="77" spans="4:10" x14ac:dyDescent="0.3">
      <c r="D77" t="str">
        <v>53</v>
      </c>
      <c r="E77">
        <v>1.833</v>
      </c>
      <c r="F77">
        <v>54</v>
      </c>
      <c r="J77">
        <v>4.8330000000000002</v>
      </c>
    </row>
    <row r="78" spans="4:10" x14ac:dyDescent="0.3">
      <c r="D78" t="str">
        <v>54</v>
      </c>
      <c r="E78">
        <v>4.8330000000000002</v>
      </c>
      <c r="F78">
        <v>80</v>
      </c>
      <c r="J78">
        <v>1.7330000000000001</v>
      </c>
    </row>
    <row r="79" spans="4:10" x14ac:dyDescent="0.3">
      <c r="D79" t="str">
        <v>55</v>
      </c>
      <c r="E79">
        <v>1.7330000000000001</v>
      </c>
      <c r="F79">
        <v>54</v>
      </c>
      <c r="J79">
        <v>4.883</v>
      </c>
    </row>
    <row r="80" spans="4:10" x14ac:dyDescent="0.3">
      <c r="D80" t="str">
        <v>56</v>
      </c>
      <c r="E80">
        <v>4.883</v>
      </c>
      <c r="F80">
        <v>83</v>
      </c>
      <c r="J80">
        <v>3.7170000000000001</v>
      </c>
    </row>
    <row r="81" spans="4:10" x14ac:dyDescent="0.3">
      <c r="D81" t="str">
        <v>57</v>
      </c>
      <c r="E81">
        <v>3.7170000000000001</v>
      </c>
      <c r="F81">
        <v>71</v>
      </c>
      <c r="J81">
        <v>1.667</v>
      </c>
    </row>
    <row r="82" spans="4:10" x14ac:dyDescent="0.3">
      <c r="D82" t="str">
        <v>58</v>
      </c>
      <c r="E82">
        <v>1.667</v>
      </c>
      <c r="F82">
        <v>64</v>
      </c>
      <c r="J82">
        <v>4.5670000000000002</v>
      </c>
    </row>
    <row r="83" spans="4:10" x14ac:dyDescent="0.3">
      <c r="D83" t="str">
        <v>59</v>
      </c>
      <c r="E83">
        <v>4.5670000000000002</v>
      </c>
      <c r="F83">
        <v>77</v>
      </c>
      <c r="J83">
        <v>4.3170000000000002</v>
      </c>
    </row>
    <row r="84" spans="4:10" x14ac:dyDescent="0.3">
      <c r="D84" t="str">
        <v>60</v>
      </c>
      <c r="E84">
        <v>4.3170000000000002</v>
      </c>
      <c r="F84">
        <v>81</v>
      </c>
      <c r="J84">
        <v>2.2330000000000001</v>
      </c>
    </row>
    <row r="85" spans="4:10" x14ac:dyDescent="0.3">
      <c r="D85" t="str">
        <v>61</v>
      </c>
      <c r="E85">
        <v>2.2330000000000001</v>
      </c>
      <c r="F85">
        <v>59</v>
      </c>
      <c r="J85">
        <v>4.5</v>
      </c>
    </row>
    <row r="86" spans="4:10" x14ac:dyDescent="0.3">
      <c r="D86" t="str">
        <v>62</v>
      </c>
      <c r="E86">
        <v>4.5</v>
      </c>
      <c r="F86">
        <v>84</v>
      </c>
      <c r="J86">
        <v>1.75</v>
      </c>
    </row>
    <row r="87" spans="4:10" x14ac:dyDescent="0.3">
      <c r="D87" t="str">
        <v>63</v>
      </c>
      <c r="E87">
        <v>1.75</v>
      </c>
      <c r="F87">
        <v>48</v>
      </c>
      <c r="J87">
        <v>4.8</v>
      </c>
    </row>
    <row r="88" spans="4:10" x14ac:dyDescent="0.3">
      <c r="D88" t="str">
        <v>64</v>
      </c>
      <c r="E88">
        <v>4.8</v>
      </c>
      <c r="F88">
        <v>82</v>
      </c>
      <c r="J88">
        <v>1.8169999999999999</v>
      </c>
    </row>
    <row r="89" spans="4:10" x14ac:dyDescent="0.3">
      <c r="D89" t="str">
        <v>65</v>
      </c>
      <c r="E89">
        <v>1.8169999999999999</v>
      </c>
      <c r="F89">
        <v>60</v>
      </c>
      <c r="J89">
        <v>4.4000000000000004</v>
      </c>
    </row>
    <row r="90" spans="4:10" x14ac:dyDescent="0.3">
      <c r="D90" t="str">
        <v>66</v>
      </c>
      <c r="E90">
        <v>4.4000000000000004</v>
      </c>
      <c r="F90">
        <v>92</v>
      </c>
      <c r="J90">
        <v>4.1669999999999998</v>
      </c>
    </row>
    <row r="91" spans="4:10" x14ac:dyDescent="0.3">
      <c r="D91" t="str">
        <v>67</v>
      </c>
      <c r="E91">
        <v>4.1669999999999998</v>
      </c>
      <c r="F91">
        <v>78</v>
      </c>
      <c r="J91">
        <v>4.7</v>
      </c>
    </row>
    <row r="92" spans="4:10" x14ac:dyDescent="0.3">
      <c r="D92" t="str">
        <v>68</v>
      </c>
      <c r="E92">
        <v>4.7</v>
      </c>
      <c r="F92">
        <v>78</v>
      </c>
      <c r="J92">
        <v>2.0670000000000002</v>
      </c>
    </row>
    <row r="93" spans="4:10" x14ac:dyDescent="0.3">
      <c r="D93" t="str">
        <v>69</v>
      </c>
      <c r="E93">
        <v>2.0670000000000002</v>
      </c>
      <c r="F93">
        <v>65</v>
      </c>
      <c r="J93">
        <v>4.7</v>
      </c>
    </row>
    <row r="94" spans="4:10" x14ac:dyDescent="0.3">
      <c r="D94" t="str">
        <v>70</v>
      </c>
      <c r="E94">
        <v>4.7</v>
      </c>
      <c r="F94">
        <v>73</v>
      </c>
      <c r="J94">
        <v>4.0330000000000004</v>
      </c>
    </row>
    <row r="95" spans="4:10" x14ac:dyDescent="0.3">
      <c r="D95" t="str">
        <v>71</v>
      </c>
      <c r="E95">
        <v>4.0330000000000004</v>
      </c>
      <c r="F95">
        <v>82</v>
      </c>
      <c r="J95">
        <v>1.9670000000000001</v>
      </c>
    </row>
    <row r="96" spans="4:10" x14ac:dyDescent="0.3">
      <c r="D96" t="str">
        <v>72</v>
      </c>
      <c r="E96">
        <v>1.9670000000000001</v>
      </c>
      <c r="F96">
        <v>56</v>
      </c>
      <c r="J96">
        <v>4.5</v>
      </c>
    </row>
    <row r="97" spans="4:10" x14ac:dyDescent="0.3">
      <c r="D97" t="str">
        <v>73</v>
      </c>
      <c r="E97">
        <v>4.5</v>
      </c>
      <c r="F97">
        <v>79</v>
      </c>
      <c r="J97">
        <v>4</v>
      </c>
    </row>
    <row r="98" spans="4:10" x14ac:dyDescent="0.3">
      <c r="D98" t="str">
        <v>74</v>
      </c>
      <c r="E98">
        <v>4</v>
      </c>
      <c r="F98">
        <v>71</v>
      </c>
      <c r="J98">
        <v>1.9830000000000001</v>
      </c>
    </row>
    <row r="99" spans="4:10" x14ac:dyDescent="0.3">
      <c r="D99" t="str">
        <v>75</v>
      </c>
      <c r="E99">
        <v>1.9830000000000001</v>
      </c>
      <c r="F99">
        <v>62</v>
      </c>
      <c r="J99">
        <v>5.0670000000000002</v>
      </c>
    </row>
    <row r="100" spans="4:10" x14ac:dyDescent="0.3">
      <c r="D100" t="str">
        <v>76</v>
      </c>
      <c r="E100">
        <v>5.0670000000000002</v>
      </c>
      <c r="F100">
        <v>76</v>
      </c>
      <c r="J100">
        <v>2.0169999999999999</v>
      </c>
    </row>
    <row r="101" spans="4:10" x14ac:dyDescent="0.3">
      <c r="D101" t="str">
        <v>77</v>
      </c>
      <c r="E101">
        <v>2.0169999999999999</v>
      </c>
      <c r="F101">
        <v>60</v>
      </c>
      <c r="J101">
        <v>4.5670000000000002</v>
      </c>
    </row>
    <row r="102" spans="4:10" x14ac:dyDescent="0.3">
      <c r="D102" t="str">
        <v>78</v>
      </c>
      <c r="E102">
        <v>4.5670000000000002</v>
      </c>
      <c r="F102">
        <v>78</v>
      </c>
      <c r="J102">
        <v>3.883</v>
      </c>
    </row>
    <row r="103" spans="4:10" x14ac:dyDescent="0.3">
      <c r="D103" t="str">
        <v>79</v>
      </c>
      <c r="E103">
        <v>3.883</v>
      </c>
      <c r="F103">
        <v>76</v>
      </c>
      <c r="J103">
        <v>3.6</v>
      </c>
    </row>
    <row r="104" spans="4:10" x14ac:dyDescent="0.3">
      <c r="D104" t="str">
        <v>80</v>
      </c>
      <c r="E104">
        <v>3.6</v>
      </c>
      <c r="F104">
        <v>83</v>
      </c>
      <c r="J104">
        <v>4.133</v>
      </c>
    </row>
    <row r="105" spans="4:10" x14ac:dyDescent="0.3">
      <c r="D105" t="str">
        <v>81</v>
      </c>
      <c r="E105">
        <v>4.133</v>
      </c>
      <c r="F105">
        <v>75</v>
      </c>
      <c r="J105">
        <v>4.3330000000000002</v>
      </c>
    </row>
    <row r="106" spans="4:10" x14ac:dyDescent="0.3">
      <c r="D106" t="str">
        <v>82</v>
      </c>
      <c r="E106">
        <v>4.3330000000000002</v>
      </c>
      <c r="F106">
        <v>82</v>
      </c>
      <c r="J106">
        <v>4.0999999999999996</v>
      </c>
    </row>
    <row r="107" spans="4:10" x14ac:dyDescent="0.3">
      <c r="D107" t="str">
        <v>83</v>
      </c>
      <c r="E107">
        <v>4.0999999999999996</v>
      </c>
      <c r="F107">
        <v>70</v>
      </c>
      <c r="J107">
        <v>2.633</v>
      </c>
    </row>
    <row r="108" spans="4:10" x14ac:dyDescent="0.3">
      <c r="D108" t="str">
        <v>84</v>
      </c>
      <c r="E108">
        <v>2.633</v>
      </c>
      <c r="F108">
        <v>65</v>
      </c>
      <c r="J108">
        <v>4.0670000000000002</v>
      </c>
    </row>
    <row r="109" spans="4:10" x14ac:dyDescent="0.3">
      <c r="D109" t="str">
        <v>85</v>
      </c>
      <c r="E109">
        <v>4.0670000000000002</v>
      </c>
      <c r="F109">
        <v>73</v>
      </c>
      <c r="J109">
        <v>4.9329999999999998</v>
      </c>
    </row>
    <row r="110" spans="4:10" x14ac:dyDescent="0.3">
      <c r="D110" t="str">
        <v>86</v>
      </c>
      <c r="E110">
        <v>4.9329999999999998</v>
      </c>
      <c r="F110">
        <v>88</v>
      </c>
      <c r="J110">
        <v>3.95</v>
      </c>
    </row>
    <row r="111" spans="4:10" x14ac:dyDescent="0.3">
      <c r="D111" t="str">
        <v>87</v>
      </c>
      <c r="E111">
        <v>3.95</v>
      </c>
      <c r="F111">
        <v>76</v>
      </c>
      <c r="J111">
        <v>4.5170000000000003</v>
      </c>
    </row>
    <row r="112" spans="4:10" x14ac:dyDescent="0.3">
      <c r="D112" t="str">
        <v>88</v>
      </c>
      <c r="E112">
        <v>4.5170000000000003</v>
      </c>
      <c r="F112">
        <v>80</v>
      </c>
      <c r="J112">
        <v>2.1669999999999998</v>
      </c>
    </row>
    <row r="113" spans="4:10" x14ac:dyDescent="0.3">
      <c r="D113" t="str">
        <v>89</v>
      </c>
      <c r="E113">
        <v>2.1669999999999998</v>
      </c>
      <c r="F113">
        <v>48</v>
      </c>
      <c r="J113">
        <v>4</v>
      </c>
    </row>
    <row r="114" spans="4:10" x14ac:dyDescent="0.3">
      <c r="D114" t="str">
        <v>90</v>
      </c>
      <c r="E114">
        <v>4</v>
      </c>
      <c r="F114">
        <v>86</v>
      </c>
      <c r="J114">
        <v>2.2000000000000002</v>
      </c>
    </row>
    <row r="115" spans="4:10" x14ac:dyDescent="0.3">
      <c r="D115" t="str">
        <v>91</v>
      </c>
      <c r="E115">
        <v>2.2000000000000002</v>
      </c>
      <c r="F115">
        <v>60</v>
      </c>
      <c r="J115">
        <v>4.3330000000000002</v>
      </c>
    </row>
    <row r="116" spans="4:10" x14ac:dyDescent="0.3">
      <c r="D116" t="str">
        <v>92</v>
      </c>
      <c r="E116">
        <v>4.3330000000000002</v>
      </c>
      <c r="F116">
        <v>90</v>
      </c>
      <c r="J116">
        <v>1.867</v>
      </c>
    </row>
    <row r="117" spans="4:10" x14ac:dyDescent="0.3">
      <c r="D117" t="str">
        <v>93</v>
      </c>
      <c r="E117">
        <v>1.867</v>
      </c>
      <c r="F117">
        <v>50</v>
      </c>
      <c r="J117">
        <v>4.8170000000000002</v>
      </c>
    </row>
    <row r="118" spans="4:10" x14ac:dyDescent="0.3">
      <c r="D118" t="str">
        <v>94</v>
      </c>
      <c r="E118">
        <v>4.8170000000000002</v>
      </c>
      <c r="F118">
        <v>78</v>
      </c>
      <c r="J118">
        <v>1.833</v>
      </c>
    </row>
    <row r="119" spans="4:10" x14ac:dyDescent="0.3">
      <c r="D119" t="str">
        <v>95</v>
      </c>
      <c r="E119">
        <v>1.833</v>
      </c>
      <c r="F119">
        <v>63</v>
      </c>
      <c r="J119">
        <v>4.3</v>
      </c>
    </row>
    <row r="120" spans="4:10" x14ac:dyDescent="0.3">
      <c r="D120" t="str">
        <v>96</v>
      </c>
      <c r="E120">
        <v>4.3</v>
      </c>
      <c r="F120">
        <v>72</v>
      </c>
      <c r="J120">
        <v>4.6669999999999998</v>
      </c>
    </row>
    <row r="121" spans="4:10" x14ac:dyDescent="0.3">
      <c r="D121" t="str">
        <v>97</v>
      </c>
      <c r="E121">
        <v>4.6669999999999998</v>
      </c>
      <c r="F121">
        <v>84</v>
      </c>
      <c r="J121">
        <v>3.75</v>
      </c>
    </row>
    <row r="122" spans="4:10" x14ac:dyDescent="0.3">
      <c r="D122" t="str">
        <v>98</v>
      </c>
      <c r="E122">
        <v>3.75</v>
      </c>
      <c r="F122">
        <v>75</v>
      </c>
      <c r="J122">
        <v>1.867</v>
      </c>
    </row>
    <row r="123" spans="4:10" x14ac:dyDescent="0.3">
      <c r="D123" t="str">
        <v>99</v>
      </c>
      <c r="E123">
        <v>1.867</v>
      </c>
      <c r="F123">
        <v>51</v>
      </c>
      <c r="J123">
        <v>4.9000000000000004</v>
      </c>
    </row>
    <row r="124" spans="4:10" x14ac:dyDescent="0.3">
      <c r="D124" t="str">
        <v>100</v>
      </c>
      <c r="E124">
        <v>4.9000000000000004</v>
      </c>
      <c r="F124">
        <v>82</v>
      </c>
      <c r="J124">
        <v>2.4830000000000001</v>
      </c>
    </row>
    <row r="125" spans="4:10" x14ac:dyDescent="0.3">
      <c r="D125" t="str">
        <v>101</v>
      </c>
      <c r="E125">
        <v>2.4830000000000001</v>
      </c>
      <c r="F125">
        <v>62</v>
      </c>
      <c r="J125">
        <v>4.367</v>
      </c>
    </row>
    <row r="126" spans="4:10" x14ac:dyDescent="0.3">
      <c r="D126" t="str">
        <v>102</v>
      </c>
      <c r="E126">
        <v>4.367</v>
      </c>
      <c r="F126">
        <v>88</v>
      </c>
      <c r="J126">
        <v>2.1</v>
      </c>
    </row>
    <row r="127" spans="4:10" x14ac:dyDescent="0.3">
      <c r="D127" t="str">
        <v>103</v>
      </c>
      <c r="E127">
        <v>2.1</v>
      </c>
      <c r="F127">
        <v>49</v>
      </c>
      <c r="J127">
        <v>4.5</v>
      </c>
    </row>
    <row r="128" spans="4:10" x14ac:dyDescent="0.3">
      <c r="D128" t="str">
        <v>104</v>
      </c>
      <c r="E128">
        <v>4.5</v>
      </c>
      <c r="F128">
        <v>83</v>
      </c>
      <c r="J128">
        <v>4.05</v>
      </c>
    </row>
    <row r="129" spans="4:10" x14ac:dyDescent="0.3">
      <c r="D129" t="str">
        <v>105</v>
      </c>
      <c r="E129">
        <v>4.05</v>
      </c>
      <c r="F129">
        <v>81</v>
      </c>
      <c r="J129">
        <v>1.867</v>
      </c>
    </row>
    <row r="130" spans="4:10" x14ac:dyDescent="0.3">
      <c r="D130" t="str">
        <v>106</v>
      </c>
      <c r="E130">
        <v>1.867</v>
      </c>
      <c r="F130">
        <v>47</v>
      </c>
      <c r="J130">
        <v>4.7</v>
      </c>
    </row>
    <row r="131" spans="4:10" x14ac:dyDescent="0.3">
      <c r="D131" t="str">
        <v>107</v>
      </c>
      <c r="E131">
        <v>4.7</v>
      </c>
      <c r="F131">
        <v>84</v>
      </c>
      <c r="J131">
        <v>1.7829999999999999</v>
      </c>
    </row>
    <row r="132" spans="4:10" x14ac:dyDescent="0.3">
      <c r="D132" t="str">
        <v>108</v>
      </c>
      <c r="E132">
        <v>1.7829999999999999</v>
      </c>
      <c r="F132">
        <v>52</v>
      </c>
      <c r="J132">
        <v>4.8499999999999996</v>
      </c>
    </row>
    <row r="133" spans="4:10" x14ac:dyDescent="0.3">
      <c r="D133" t="str">
        <v>109</v>
      </c>
      <c r="E133">
        <v>4.8499999999999996</v>
      </c>
      <c r="F133">
        <v>86</v>
      </c>
      <c r="J133">
        <v>3.6829999999999998</v>
      </c>
    </row>
    <row r="134" spans="4:10" x14ac:dyDescent="0.3">
      <c r="D134" t="str">
        <v>110</v>
      </c>
      <c r="E134">
        <v>3.6829999999999998</v>
      </c>
      <c r="F134">
        <v>81</v>
      </c>
      <c r="J134">
        <v>4.7329999999999997</v>
      </c>
    </row>
    <row r="135" spans="4:10" x14ac:dyDescent="0.3">
      <c r="D135" t="str">
        <v>111</v>
      </c>
      <c r="E135">
        <v>4.7329999999999997</v>
      </c>
      <c r="F135">
        <v>75</v>
      </c>
      <c r="J135">
        <v>2.2999999999999998</v>
      </c>
    </row>
    <row r="136" spans="4:10" x14ac:dyDescent="0.3">
      <c r="D136" t="str">
        <v>112</v>
      </c>
      <c r="E136">
        <v>2.2999999999999998</v>
      </c>
      <c r="F136">
        <v>59</v>
      </c>
      <c r="J136">
        <v>4.9000000000000004</v>
      </c>
    </row>
    <row r="137" spans="4:10" x14ac:dyDescent="0.3">
      <c r="D137" t="str">
        <v>113</v>
      </c>
      <c r="E137">
        <v>4.9000000000000004</v>
      </c>
      <c r="F137">
        <v>89</v>
      </c>
      <c r="J137">
        <v>4.4169999999999998</v>
      </c>
    </row>
    <row r="138" spans="4:10" x14ac:dyDescent="0.3">
      <c r="D138" t="str">
        <v>114</v>
      </c>
      <c r="E138">
        <v>4.4169999999999998</v>
      </c>
      <c r="F138">
        <v>79</v>
      </c>
      <c r="J138">
        <v>1.7</v>
      </c>
    </row>
    <row r="139" spans="4:10" x14ac:dyDescent="0.3">
      <c r="D139" t="str">
        <v>115</v>
      </c>
      <c r="E139">
        <v>1.7</v>
      </c>
      <c r="F139">
        <v>59</v>
      </c>
      <c r="J139">
        <v>4.633</v>
      </c>
    </row>
    <row r="140" spans="4:10" x14ac:dyDescent="0.3">
      <c r="D140" t="str">
        <v>116</v>
      </c>
      <c r="E140">
        <v>4.633</v>
      </c>
      <c r="F140">
        <v>81</v>
      </c>
      <c r="J140">
        <v>2.3170000000000002</v>
      </c>
    </row>
    <row r="141" spans="4:10" x14ac:dyDescent="0.3">
      <c r="D141" t="str">
        <v>117</v>
      </c>
      <c r="E141">
        <v>2.3170000000000002</v>
      </c>
      <c r="F141">
        <v>50</v>
      </c>
      <c r="J141">
        <v>4.5999999999999996</v>
      </c>
    </row>
    <row r="142" spans="4:10" x14ac:dyDescent="0.3">
      <c r="D142" t="str">
        <v>118</v>
      </c>
      <c r="E142">
        <v>4.5999999999999996</v>
      </c>
      <c r="F142">
        <v>85</v>
      </c>
      <c r="J142">
        <v>1.8169999999999999</v>
      </c>
    </row>
    <row r="143" spans="4:10" x14ac:dyDescent="0.3">
      <c r="D143" t="str">
        <v>119</v>
      </c>
      <c r="E143">
        <v>1.8169999999999999</v>
      </c>
      <c r="F143">
        <v>59</v>
      </c>
      <c r="J143">
        <v>4.4169999999999998</v>
      </c>
    </row>
    <row r="144" spans="4:10" x14ac:dyDescent="0.3">
      <c r="D144" t="str">
        <v>120</v>
      </c>
      <c r="E144">
        <v>4.4169999999999998</v>
      </c>
      <c r="F144">
        <v>87</v>
      </c>
      <c r="J144">
        <v>2.617</v>
      </c>
    </row>
    <row r="145" spans="4:10" x14ac:dyDescent="0.3">
      <c r="D145" t="str">
        <v>121</v>
      </c>
      <c r="E145">
        <v>2.617</v>
      </c>
      <c r="F145">
        <v>53</v>
      </c>
      <c r="J145">
        <v>4.0670000000000002</v>
      </c>
    </row>
    <row r="146" spans="4:10" x14ac:dyDescent="0.3">
      <c r="D146" t="str">
        <v>122</v>
      </c>
      <c r="E146">
        <v>4.0670000000000002</v>
      </c>
      <c r="F146">
        <v>69</v>
      </c>
      <c r="J146">
        <v>4.25</v>
      </c>
    </row>
    <row r="147" spans="4:10" x14ac:dyDescent="0.3">
      <c r="D147" t="str">
        <v>123</v>
      </c>
      <c r="E147">
        <v>4.25</v>
      </c>
      <c r="F147">
        <v>77</v>
      </c>
      <c r="J147">
        <v>1.9670000000000001</v>
      </c>
    </row>
    <row r="148" spans="4:10" x14ac:dyDescent="0.3">
      <c r="D148" t="str">
        <v>124</v>
      </c>
      <c r="E148">
        <v>1.9670000000000001</v>
      </c>
      <c r="F148">
        <v>56</v>
      </c>
      <c r="J148">
        <v>4.5999999999999996</v>
      </c>
    </row>
    <row r="149" spans="4:10" x14ac:dyDescent="0.3">
      <c r="D149" t="str">
        <v>125</v>
      </c>
      <c r="E149">
        <v>4.5999999999999996</v>
      </c>
      <c r="F149">
        <v>88</v>
      </c>
      <c r="J149">
        <v>3.7669999999999999</v>
      </c>
    </row>
    <row r="150" spans="4:10" x14ac:dyDescent="0.3">
      <c r="D150" t="str">
        <v>126</v>
      </c>
      <c r="E150">
        <v>3.7669999999999999</v>
      </c>
      <c r="F150">
        <v>81</v>
      </c>
      <c r="J150">
        <v>1.917</v>
      </c>
    </row>
    <row r="151" spans="4:10" x14ac:dyDescent="0.3">
      <c r="D151" t="str">
        <v>127</v>
      </c>
      <c r="E151">
        <v>1.917</v>
      </c>
      <c r="F151">
        <v>45</v>
      </c>
      <c r="J151">
        <v>4.5</v>
      </c>
    </row>
    <row r="152" spans="4:10" x14ac:dyDescent="0.3">
      <c r="D152" t="str">
        <v>128</v>
      </c>
      <c r="E152">
        <v>4.5</v>
      </c>
      <c r="F152">
        <v>82</v>
      </c>
      <c r="J152">
        <v>2.2669999999999999</v>
      </c>
    </row>
    <row r="153" spans="4:10" x14ac:dyDescent="0.3">
      <c r="D153" t="str">
        <v>129</v>
      </c>
      <c r="E153">
        <v>2.2669999999999999</v>
      </c>
      <c r="F153">
        <v>55</v>
      </c>
      <c r="J153">
        <v>4.6500000000000004</v>
      </c>
    </row>
    <row r="154" spans="4:10" x14ac:dyDescent="0.3">
      <c r="D154" t="str">
        <v>130</v>
      </c>
      <c r="E154">
        <v>4.6500000000000004</v>
      </c>
      <c r="F154">
        <v>90</v>
      </c>
      <c r="J154">
        <v>1.867</v>
      </c>
    </row>
    <row r="155" spans="4:10" x14ac:dyDescent="0.3">
      <c r="D155" t="str">
        <v>131</v>
      </c>
      <c r="E155">
        <v>1.867</v>
      </c>
      <c r="F155">
        <v>45</v>
      </c>
      <c r="J155">
        <v>4.1669999999999998</v>
      </c>
    </row>
    <row r="156" spans="4:10" x14ac:dyDescent="0.3">
      <c r="D156" t="str">
        <v>132</v>
      </c>
      <c r="E156">
        <v>4.1669999999999998</v>
      </c>
      <c r="F156">
        <v>83</v>
      </c>
      <c r="J156">
        <v>2.8</v>
      </c>
    </row>
    <row r="157" spans="4:10" x14ac:dyDescent="0.3">
      <c r="D157" t="str">
        <v>133</v>
      </c>
      <c r="E157">
        <v>2.8</v>
      </c>
      <c r="F157">
        <v>56</v>
      </c>
      <c r="J157">
        <v>4.3330000000000002</v>
      </c>
    </row>
    <row r="158" spans="4:10" x14ac:dyDescent="0.3">
      <c r="D158" t="str">
        <v>134</v>
      </c>
      <c r="E158">
        <v>4.3330000000000002</v>
      </c>
      <c r="F158">
        <v>89</v>
      </c>
      <c r="J158">
        <v>1.833</v>
      </c>
    </row>
    <row r="159" spans="4:10" x14ac:dyDescent="0.3">
      <c r="D159" t="str">
        <v>135</v>
      </c>
      <c r="E159">
        <v>1.833</v>
      </c>
      <c r="F159">
        <v>46</v>
      </c>
      <c r="J159">
        <v>4.383</v>
      </c>
    </row>
    <row r="160" spans="4:10" x14ac:dyDescent="0.3">
      <c r="D160" t="str">
        <v>136</v>
      </c>
      <c r="E160">
        <v>4.383</v>
      </c>
      <c r="F160">
        <v>82</v>
      </c>
      <c r="J160">
        <v>1.883</v>
      </c>
    </row>
    <row r="161" spans="4:10" x14ac:dyDescent="0.3">
      <c r="D161" t="str">
        <v>137</v>
      </c>
      <c r="E161">
        <v>1.883</v>
      </c>
      <c r="F161">
        <v>51</v>
      </c>
      <c r="J161">
        <v>4.9329999999999998</v>
      </c>
    </row>
    <row r="162" spans="4:10" x14ac:dyDescent="0.3">
      <c r="D162" t="str">
        <v>138</v>
      </c>
      <c r="E162">
        <v>4.9329999999999998</v>
      </c>
      <c r="F162">
        <v>86</v>
      </c>
      <c r="J162">
        <v>2.0329999999999999</v>
      </c>
    </row>
    <row r="163" spans="4:10" x14ac:dyDescent="0.3">
      <c r="D163" t="str">
        <v>139</v>
      </c>
      <c r="E163">
        <v>2.0329999999999999</v>
      </c>
      <c r="F163">
        <v>53</v>
      </c>
      <c r="J163">
        <v>3.7330000000000001</v>
      </c>
    </row>
    <row r="164" spans="4:10" x14ac:dyDescent="0.3">
      <c r="D164" t="str">
        <v>140</v>
      </c>
      <c r="E164">
        <v>3.7330000000000001</v>
      </c>
      <c r="F164">
        <v>79</v>
      </c>
      <c r="J164">
        <v>4.2329999999999997</v>
      </c>
    </row>
    <row r="165" spans="4:10" x14ac:dyDescent="0.3">
      <c r="D165" t="str">
        <v>141</v>
      </c>
      <c r="E165">
        <v>4.2329999999999997</v>
      </c>
      <c r="F165">
        <v>81</v>
      </c>
      <c r="J165">
        <v>2.2330000000000001</v>
      </c>
    </row>
    <row r="166" spans="4:10" x14ac:dyDescent="0.3">
      <c r="D166" t="str">
        <v>142</v>
      </c>
      <c r="E166">
        <v>2.2330000000000001</v>
      </c>
      <c r="F166">
        <v>60</v>
      </c>
      <c r="J166">
        <v>4.5330000000000004</v>
      </c>
    </row>
    <row r="167" spans="4:10" x14ac:dyDescent="0.3">
      <c r="D167" t="str">
        <v>143</v>
      </c>
      <c r="E167">
        <v>4.5330000000000004</v>
      </c>
      <c r="F167">
        <v>82</v>
      </c>
      <c r="J167">
        <v>4.8170000000000002</v>
      </c>
    </row>
    <row r="168" spans="4:10" x14ac:dyDescent="0.3">
      <c r="D168" t="str">
        <v>144</v>
      </c>
      <c r="E168">
        <v>4.8170000000000002</v>
      </c>
      <c r="F168">
        <v>77</v>
      </c>
      <c r="J168">
        <v>4.3330000000000002</v>
      </c>
    </row>
    <row r="169" spans="4:10" x14ac:dyDescent="0.3">
      <c r="D169" t="str">
        <v>145</v>
      </c>
      <c r="E169">
        <v>4.3330000000000002</v>
      </c>
      <c r="F169">
        <v>76</v>
      </c>
      <c r="J169">
        <v>1.9830000000000001</v>
      </c>
    </row>
    <row r="170" spans="4:10" x14ac:dyDescent="0.3">
      <c r="D170" t="str">
        <v>146</v>
      </c>
      <c r="E170">
        <v>1.9830000000000001</v>
      </c>
      <c r="F170">
        <v>59</v>
      </c>
      <c r="J170">
        <v>4.633</v>
      </c>
    </row>
    <row r="171" spans="4:10" x14ac:dyDescent="0.3">
      <c r="D171" t="str">
        <v>147</v>
      </c>
      <c r="E171">
        <v>4.633</v>
      </c>
      <c r="F171">
        <v>80</v>
      </c>
      <c r="J171">
        <v>2.0169999999999999</v>
      </c>
    </row>
    <row r="172" spans="4:10" x14ac:dyDescent="0.3">
      <c r="D172" t="str">
        <v>148</v>
      </c>
      <c r="E172">
        <v>2.0169999999999999</v>
      </c>
      <c r="F172">
        <v>49</v>
      </c>
      <c r="J172">
        <v>5.0999999999999996</v>
      </c>
    </row>
    <row r="173" spans="4:10" x14ac:dyDescent="0.3">
      <c r="D173" t="str">
        <v>149</v>
      </c>
      <c r="E173">
        <v>5.0999999999999996</v>
      </c>
      <c r="F173">
        <v>96</v>
      </c>
      <c r="J173">
        <v>1.8</v>
      </c>
    </row>
    <row r="174" spans="4:10" x14ac:dyDescent="0.3">
      <c r="D174" t="str">
        <v>150</v>
      </c>
      <c r="E174">
        <v>1.8</v>
      </c>
      <c r="F174">
        <v>53</v>
      </c>
      <c r="J174">
        <v>5.0330000000000004</v>
      </c>
    </row>
    <row r="175" spans="4:10" x14ac:dyDescent="0.3">
      <c r="D175" t="str">
        <v>151</v>
      </c>
      <c r="E175">
        <v>5.0330000000000004</v>
      </c>
      <c r="F175">
        <v>77</v>
      </c>
      <c r="J175">
        <v>4</v>
      </c>
    </row>
    <row r="176" spans="4:10" x14ac:dyDescent="0.3">
      <c r="D176" t="str">
        <v>152</v>
      </c>
      <c r="E176">
        <v>4</v>
      </c>
      <c r="F176">
        <v>77</v>
      </c>
      <c r="J176">
        <v>2.4</v>
      </c>
    </row>
    <row r="177" spans="4:10" x14ac:dyDescent="0.3">
      <c r="D177" t="str">
        <v>153</v>
      </c>
      <c r="E177">
        <v>2.4</v>
      </c>
      <c r="F177">
        <v>65</v>
      </c>
      <c r="J177">
        <v>4.5999999999999996</v>
      </c>
    </row>
    <row r="178" spans="4:10" x14ac:dyDescent="0.3">
      <c r="D178" t="str">
        <v>154</v>
      </c>
      <c r="E178">
        <v>4.5999999999999996</v>
      </c>
      <c r="F178">
        <v>81</v>
      </c>
      <c r="J178">
        <v>3.5670000000000002</v>
      </c>
    </row>
    <row r="179" spans="4:10" x14ac:dyDescent="0.3">
      <c r="D179" t="str">
        <v>155</v>
      </c>
      <c r="E179">
        <v>3.5670000000000002</v>
      </c>
      <c r="F179">
        <v>71</v>
      </c>
      <c r="J179">
        <v>4</v>
      </c>
    </row>
    <row r="180" spans="4:10" x14ac:dyDescent="0.3">
      <c r="D180" t="str">
        <v>156</v>
      </c>
      <c r="E180">
        <v>4</v>
      </c>
      <c r="F180">
        <v>70</v>
      </c>
      <c r="J180">
        <v>4.5</v>
      </c>
    </row>
    <row r="181" spans="4:10" x14ac:dyDescent="0.3">
      <c r="D181" t="str">
        <v>157</v>
      </c>
      <c r="E181">
        <v>4.5</v>
      </c>
      <c r="F181">
        <v>81</v>
      </c>
      <c r="J181">
        <v>4.0830000000000002</v>
      </c>
    </row>
    <row r="182" spans="4:10" x14ac:dyDescent="0.3">
      <c r="D182" t="str">
        <v>158</v>
      </c>
      <c r="E182">
        <v>4.0830000000000002</v>
      </c>
      <c r="F182">
        <v>93</v>
      </c>
      <c r="J182">
        <v>1.8</v>
      </c>
    </row>
    <row r="183" spans="4:10" x14ac:dyDescent="0.3">
      <c r="D183" t="str">
        <v>159</v>
      </c>
      <c r="E183">
        <v>1.8</v>
      </c>
      <c r="F183">
        <v>53</v>
      </c>
      <c r="J183">
        <v>3.9670000000000001</v>
      </c>
    </row>
    <row r="184" spans="4:10" x14ac:dyDescent="0.3">
      <c r="D184" t="str">
        <v>160</v>
      </c>
      <c r="E184">
        <v>3.9670000000000001</v>
      </c>
      <c r="F184">
        <v>89</v>
      </c>
      <c r="J184">
        <v>2.2000000000000002</v>
      </c>
    </row>
    <row r="185" spans="4:10" x14ac:dyDescent="0.3">
      <c r="D185" t="str">
        <v>161</v>
      </c>
      <c r="E185">
        <v>2.2000000000000002</v>
      </c>
      <c r="F185">
        <v>45</v>
      </c>
      <c r="J185">
        <v>4.1500000000000004</v>
      </c>
    </row>
    <row r="186" spans="4:10" x14ac:dyDescent="0.3">
      <c r="D186" t="str">
        <v>162</v>
      </c>
      <c r="E186">
        <v>4.1500000000000004</v>
      </c>
      <c r="F186">
        <v>86</v>
      </c>
      <c r="J186">
        <v>2</v>
      </c>
    </row>
    <row r="187" spans="4:10" x14ac:dyDescent="0.3">
      <c r="D187" t="str">
        <v>163</v>
      </c>
      <c r="E187">
        <v>2</v>
      </c>
      <c r="F187">
        <v>58</v>
      </c>
      <c r="J187">
        <v>3.8330000000000002</v>
      </c>
    </row>
    <row r="188" spans="4:10" x14ac:dyDescent="0.3">
      <c r="D188" t="str">
        <v>164</v>
      </c>
      <c r="E188">
        <v>3.8330000000000002</v>
      </c>
      <c r="F188">
        <v>78</v>
      </c>
      <c r="J188">
        <v>3.5</v>
      </c>
    </row>
    <row r="189" spans="4:10" x14ac:dyDescent="0.3">
      <c r="D189" t="str">
        <v>165</v>
      </c>
      <c r="E189">
        <v>3.5</v>
      </c>
      <c r="F189">
        <v>66</v>
      </c>
      <c r="J189">
        <v>4.5830000000000002</v>
      </c>
    </row>
    <row r="190" spans="4:10" x14ac:dyDescent="0.3">
      <c r="D190" t="str">
        <v>166</v>
      </c>
      <c r="E190">
        <v>4.5830000000000002</v>
      </c>
      <c r="F190">
        <v>76</v>
      </c>
      <c r="J190">
        <v>2.367</v>
      </c>
    </row>
    <row r="191" spans="4:10" x14ac:dyDescent="0.3">
      <c r="D191" t="str">
        <v>167</v>
      </c>
      <c r="E191">
        <v>2.367</v>
      </c>
      <c r="F191">
        <v>63</v>
      </c>
      <c r="J191">
        <v>5</v>
      </c>
    </row>
    <row r="192" spans="4:10" x14ac:dyDescent="0.3">
      <c r="D192" t="str">
        <v>168</v>
      </c>
      <c r="E192">
        <v>5</v>
      </c>
      <c r="F192">
        <v>88</v>
      </c>
      <c r="J192">
        <v>1.9330000000000001</v>
      </c>
    </row>
    <row r="193" spans="4:10" x14ac:dyDescent="0.3">
      <c r="D193" t="str">
        <v>169</v>
      </c>
      <c r="E193">
        <v>1.9330000000000001</v>
      </c>
      <c r="F193">
        <v>52</v>
      </c>
      <c r="J193">
        <v>4.617</v>
      </c>
    </row>
    <row r="194" spans="4:10" x14ac:dyDescent="0.3">
      <c r="D194" t="str">
        <v>170</v>
      </c>
      <c r="E194">
        <v>4.617</v>
      </c>
      <c r="F194">
        <v>93</v>
      </c>
      <c r="J194">
        <v>1.917</v>
      </c>
    </row>
    <row r="195" spans="4:10" x14ac:dyDescent="0.3">
      <c r="D195" t="str">
        <v>171</v>
      </c>
      <c r="E195">
        <v>1.917</v>
      </c>
      <c r="F195">
        <v>49</v>
      </c>
      <c r="J195">
        <v>2.0830000000000002</v>
      </c>
    </row>
    <row r="196" spans="4:10" x14ac:dyDescent="0.3">
      <c r="D196" t="str">
        <v>172</v>
      </c>
      <c r="E196">
        <v>2.0830000000000002</v>
      </c>
      <c r="F196">
        <v>57</v>
      </c>
      <c r="J196">
        <v>4.5830000000000002</v>
      </c>
    </row>
    <row r="197" spans="4:10" x14ac:dyDescent="0.3">
      <c r="D197" t="str">
        <v>173</v>
      </c>
      <c r="E197">
        <v>4.5830000000000002</v>
      </c>
      <c r="F197">
        <v>77</v>
      </c>
      <c r="J197">
        <v>3.3330000000000002</v>
      </c>
    </row>
    <row r="198" spans="4:10" x14ac:dyDescent="0.3">
      <c r="D198" t="str">
        <v>174</v>
      </c>
      <c r="E198">
        <v>3.3330000000000002</v>
      </c>
      <c r="F198">
        <v>68</v>
      </c>
      <c r="J198">
        <v>4.1669999999999998</v>
      </c>
    </row>
    <row r="199" spans="4:10" x14ac:dyDescent="0.3">
      <c r="D199" t="str">
        <v>175</v>
      </c>
      <c r="E199">
        <v>4.1669999999999998</v>
      </c>
      <c r="F199">
        <v>81</v>
      </c>
      <c r="J199">
        <v>4.3330000000000002</v>
      </c>
    </row>
    <row r="200" spans="4:10" x14ac:dyDescent="0.3">
      <c r="D200" t="str">
        <v>176</v>
      </c>
      <c r="E200">
        <v>4.3330000000000002</v>
      </c>
      <c r="F200">
        <v>81</v>
      </c>
      <c r="J200">
        <v>4.5</v>
      </c>
    </row>
    <row r="201" spans="4:10" x14ac:dyDescent="0.3">
      <c r="D201" t="str">
        <v>177</v>
      </c>
      <c r="E201">
        <v>4.5</v>
      </c>
      <c r="F201">
        <v>73</v>
      </c>
      <c r="J201">
        <v>2.4169999999999998</v>
      </c>
    </row>
    <row r="202" spans="4:10" x14ac:dyDescent="0.3">
      <c r="D202" t="str">
        <v>178</v>
      </c>
      <c r="E202">
        <v>2.4169999999999998</v>
      </c>
      <c r="F202">
        <v>50</v>
      </c>
      <c r="J202">
        <v>4</v>
      </c>
    </row>
    <row r="203" spans="4:10" x14ac:dyDescent="0.3">
      <c r="D203" t="str">
        <v>179</v>
      </c>
      <c r="E203">
        <v>4</v>
      </c>
      <c r="F203">
        <v>85</v>
      </c>
      <c r="J203">
        <v>4.1669999999999998</v>
      </c>
    </row>
    <row r="204" spans="4:10" x14ac:dyDescent="0.3">
      <c r="D204" t="str">
        <v>180</v>
      </c>
      <c r="E204">
        <v>4.1669999999999998</v>
      </c>
      <c r="F204">
        <v>74</v>
      </c>
      <c r="J204">
        <v>1.883</v>
      </c>
    </row>
    <row r="205" spans="4:10" x14ac:dyDescent="0.3">
      <c r="D205" t="str">
        <v>181</v>
      </c>
      <c r="E205">
        <v>1.883</v>
      </c>
      <c r="F205">
        <v>55</v>
      </c>
      <c r="J205">
        <v>4.5830000000000002</v>
      </c>
    </row>
    <row r="206" spans="4:10" x14ac:dyDescent="0.3">
      <c r="D206" t="str">
        <v>182</v>
      </c>
      <c r="E206">
        <v>4.5830000000000002</v>
      </c>
      <c r="F206">
        <v>77</v>
      </c>
      <c r="J206">
        <v>4.25</v>
      </c>
    </row>
    <row r="207" spans="4:10" x14ac:dyDescent="0.3">
      <c r="D207" t="str">
        <v>183</v>
      </c>
      <c r="E207">
        <v>4.25</v>
      </c>
      <c r="F207">
        <v>83</v>
      </c>
      <c r="J207">
        <v>3.7669999999999999</v>
      </c>
    </row>
    <row r="208" spans="4:10" x14ac:dyDescent="0.3">
      <c r="D208" t="str">
        <v>184</v>
      </c>
      <c r="E208">
        <v>3.7669999999999999</v>
      </c>
      <c r="F208">
        <v>83</v>
      </c>
      <c r="J208">
        <v>2.0329999999999999</v>
      </c>
    </row>
    <row r="209" spans="4:10" x14ac:dyDescent="0.3">
      <c r="D209" t="str">
        <v>185</v>
      </c>
      <c r="E209">
        <v>2.0329999999999999</v>
      </c>
      <c r="F209">
        <v>51</v>
      </c>
      <c r="J209">
        <v>4.4329999999999998</v>
      </c>
    </row>
    <row r="210" spans="4:10" x14ac:dyDescent="0.3">
      <c r="D210" t="str">
        <v>186</v>
      </c>
      <c r="E210">
        <v>4.4329999999999998</v>
      </c>
      <c r="F210">
        <v>78</v>
      </c>
      <c r="J210">
        <v>4.0830000000000002</v>
      </c>
    </row>
    <row r="211" spans="4:10" x14ac:dyDescent="0.3">
      <c r="D211" t="str">
        <v>187</v>
      </c>
      <c r="E211">
        <v>4.0830000000000002</v>
      </c>
      <c r="F211">
        <v>84</v>
      </c>
      <c r="J211">
        <v>1.833</v>
      </c>
    </row>
    <row r="212" spans="4:10" x14ac:dyDescent="0.3">
      <c r="D212" t="str">
        <v>188</v>
      </c>
      <c r="E212">
        <v>1.833</v>
      </c>
      <c r="F212">
        <v>46</v>
      </c>
      <c r="J212">
        <v>4.4169999999999998</v>
      </c>
    </row>
    <row r="213" spans="4:10" x14ac:dyDescent="0.3">
      <c r="D213" t="str">
        <v>189</v>
      </c>
      <c r="E213">
        <v>4.4169999999999998</v>
      </c>
      <c r="F213">
        <v>83</v>
      </c>
      <c r="J213">
        <v>2.1829999999999998</v>
      </c>
    </row>
    <row r="214" spans="4:10" x14ac:dyDescent="0.3">
      <c r="D214" t="str">
        <v>190</v>
      </c>
      <c r="E214">
        <v>2.1829999999999998</v>
      </c>
      <c r="F214">
        <v>55</v>
      </c>
      <c r="J214">
        <v>4.8</v>
      </c>
    </row>
    <row r="215" spans="4:10" x14ac:dyDescent="0.3">
      <c r="D215" t="str">
        <v>191</v>
      </c>
      <c r="E215">
        <v>4.8</v>
      </c>
      <c r="F215">
        <v>81</v>
      </c>
      <c r="J215">
        <v>1.833</v>
      </c>
    </row>
    <row r="216" spans="4:10" x14ac:dyDescent="0.3">
      <c r="D216" t="str">
        <v>192</v>
      </c>
      <c r="E216">
        <v>1.833</v>
      </c>
      <c r="F216">
        <v>57</v>
      </c>
      <c r="J216">
        <v>4.8</v>
      </c>
    </row>
    <row r="217" spans="4:10" x14ac:dyDescent="0.3">
      <c r="D217" t="str">
        <v>193</v>
      </c>
      <c r="E217">
        <v>4.8</v>
      </c>
      <c r="F217">
        <v>76</v>
      </c>
      <c r="J217">
        <v>4.0999999999999996</v>
      </c>
    </row>
    <row r="218" spans="4:10" x14ac:dyDescent="0.3">
      <c r="D218" t="str">
        <v>194</v>
      </c>
      <c r="E218">
        <v>4.0999999999999996</v>
      </c>
      <c r="F218">
        <v>84</v>
      </c>
      <c r="J218">
        <v>3.9660000000000002</v>
      </c>
    </row>
    <row r="219" spans="4:10" x14ac:dyDescent="0.3">
      <c r="D219" t="str">
        <v>195</v>
      </c>
      <c r="E219">
        <v>3.9660000000000002</v>
      </c>
      <c r="F219">
        <v>77</v>
      </c>
      <c r="J219">
        <v>4.2329999999999997</v>
      </c>
    </row>
    <row r="220" spans="4:10" x14ac:dyDescent="0.3">
      <c r="D220" t="str">
        <v>196</v>
      </c>
      <c r="E220">
        <v>4.2329999999999997</v>
      </c>
      <c r="F220">
        <v>81</v>
      </c>
      <c r="J220">
        <v>3.5</v>
      </c>
    </row>
    <row r="221" spans="4:10" x14ac:dyDescent="0.3">
      <c r="D221" t="str">
        <v>197</v>
      </c>
      <c r="E221">
        <v>3.5</v>
      </c>
      <c r="F221">
        <v>87</v>
      </c>
      <c r="J221">
        <v>4.3659999999999997</v>
      </c>
    </row>
    <row r="222" spans="4:10" x14ac:dyDescent="0.3">
      <c r="D222" t="str">
        <v>198</v>
      </c>
      <c r="E222">
        <v>4.3659999999999997</v>
      </c>
      <c r="F222">
        <v>77</v>
      </c>
      <c r="J222">
        <v>2.25</v>
      </c>
    </row>
    <row r="223" spans="4:10" x14ac:dyDescent="0.3">
      <c r="D223" t="str">
        <v>199</v>
      </c>
      <c r="E223">
        <v>2.25</v>
      </c>
      <c r="F223">
        <v>51</v>
      </c>
      <c r="J223">
        <v>4.6669999999999998</v>
      </c>
    </row>
    <row r="224" spans="4:10" x14ac:dyDescent="0.3">
      <c r="D224" t="str">
        <v>200</v>
      </c>
      <c r="E224">
        <v>4.6669999999999998</v>
      </c>
      <c r="F224">
        <v>78</v>
      </c>
      <c r="J224">
        <v>2.1</v>
      </c>
    </row>
    <row r="225" spans="4:10" x14ac:dyDescent="0.3">
      <c r="D225" t="str">
        <v>201</v>
      </c>
      <c r="E225">
        <v>2.1</v>
      </c>
      <c r="F225">
        <v>60</v>
      </c>
      <c r="J225">
        <v>4.3499999999999996</v>
      </c>
    </row>
    <row r="226" spans="4:10" x14ac:dyDescent="0.3">
      <c r="D226" t="str">
        <v>202</v>
      </c>
      <c r="E226">
        <v>4.3499999999999996</v>
      </c>
      <c r="F226">
        <v>82</v>
      </c>
      <c r="J226">
        <v>4.133</v>
      </c>
    </row>
    <row r="227" spans="4:10" x14ac:dyDescent="0.3">
      <c r="D227" t="str">
        <v>203</v>
      </c>
      <c r="E227">
        <v>4.133</v>
      </c>
      <c r="F227">
        <v>91</v>
      </c>
      <c r="J227">
        <v>1.867</v>
      </c>
    </row>
    <row r="228" spans="4:10" x14ac:dyDescent="0.3">
      <c r="D228" t="str">
        <v>204</v>
      </c>
      <c r="E228">
        <v>1.867</v>
      </c>
      <c r="F228">
        <v>53</v>
      </c>
      <c r="J228">
        <v>4.5999999999999996</v>
      </c>
    </row>
    <row r="229" spans="4:10" x14ac:dyDescent="0.3">
      <c r="D229" t="str">
        <v>205</v>
      </c>
      <c r="E229">
        <v>4.5999999999999996</v>
      </c>
      <c r="F229">
        <v>78</v>
      </c>
      <c r="J229">
        <v>1.7829999999999999</v>
      </c>
    </row>
    <row r="230" spans="4:10" x14ac:dyDescent="0.3">
      <c r="D230" t="str">
        <v>206</v>
      </c>
      <c r="E230">
        <v>1.7829999999999999</v>
      </c>
      <c r="F230">
        <v>46</v>
      </c>
      <c r="J230">
        <v>4.367</v>
      </c>
    </row>
    <row r="231" spans="4:10" x14ac:dyDescent="0.3">
      <c r="D231" t="str">
        <v>207</v>
      </c>
      <c r="E231">
        <v>4.367</v>
      </c>
      <c r="F231">
        <v>77</v>
      </c>
      <c r="J231">
        <v>3.85</v>
      </c>
    </row>
    <row r="232" spans="4:10" x14ac:dyDescent="0.3">
      <c r="D232" t="str">
        <v>208</v>
      </c>
      <c r="E232">
        <v>3.85</v>
      </c>
      <c r="F232">
        <v>84</v>
      </c>
      <c r="J232">
        <v>1.9330000000000001</v>
      </c>
    </row>
    <row r="233" spans="4:10" x14ac:dyDescent="0.3">
      <c r="D233" t="str">
        <v>209</v>
      </c>
      <c r="E233">
        <v>1.9330000000000001</v>
      </c>
      <c r="F233">
        <v>49</v>
      </c>
      <c r="J233">
        <v>4.5</v>
      </c>
    </row>
    <row r="234" spans="4:10" x14ac:dyDescent="0.3">
      <c r="D234" t="str">
        <v>210</v>
      </c>
      <c r="E234">
        <v>4.5</v>
      </c>
      <c r="F234">
        <v>83</v>
      </c>
      <c r="J234">
        <v>2.383</v>
      </c>
    </row>
    <row r="235" spans="4:10" x14ac:dyDescent="0.3">
      <c r="D235" t="str">
        <v>211</v>
      </c>
      <c r="E235">
        <v>2.383</v>
      </c>
      <c r="F235">
        <v>71</v>
      </c>
      <c r="J235">
        <v>4.7</v>
      </c>
    </row>
    <row r="236" spans="4:10" x14ac:dyDescent="0.3">
      <c r="D236" t="str">
        <v>212</v>
      </c>
      <c r="E236">
        <v>4.7</v>
      </c>
      <c r="F236">
        <v>80</v>
      </c>
      <c r="J236">
        <v>1.867</v>
      </c>
    </row>
    <row r="237" spans="4:10" x14ac:dyDescent="0.3">
      <c r="D237" t="str">
        <v>213</v>
      </c>
      <c r="E237">
        <v>1.867</v>
      </c>
      <c r="F237">
        <v>49</v>
      </c>
      <c r="J237">
        <v>3.8330000000000002</v>
      </c>
    </row>
    <row r="238" spans="4:10" x14ac:dyDescent="0.3">
      <c r="D238" t="str">
        <v>214</v>
      </c>
      <c r="E238">
        <v>3.8330000000000002</v>
      </c>
      <c r="F238">
        <v>75</v>
      </c>
      <c r="J238">
        <v>3.4169999999999998</v>
      </c>
    </row>
    <row r="239" spans="4:10" x14ac:dyDescent="0.3">
      <c r="D239" t="str">
        <v>215</v>
      </c>
      <c r="E239">
        <v>3.4169999999999998</v>
      </c>
      <c r="F239">
        <v>64</v>
      </c>
      <c r="J239">
        <v>4.2329999999999997</v>
      </c>
    </row>
    <row r="240" spans="4:10" x14ac:dyDescent="0.3">
      <c r="D240" t="str">
        <v>216</v>
      </c>
      <c r="E240">
        <v>4.2329999999999997</v>
      </c>
      <c r="F240">
        <v>76</v>
      </c>
      <c r="J240">
        <v>2.4</v>
      </c>
    </row>
    <row r="241" spans="4:10" x14ac:dyDescent="0.3">
      <c r="D241" t="str">
        <v>217</v>
      </c>
      <c r="E241">
        <v>2.4</v>
      </c>
      <c r="F241">
        <v>53</v>
      </c>
      <c r="J241">
        <v>4.8</v>
      </c>
    </row>
    <row r="242" spans="4:10" x14ac:dyDescent="0.3">
      <c r="D242" t="str">
        <v>218</v>
      </c>
      <c r="E242">
        <v>4.8</v>
      </c>
      <c r="F242">
        <v>94</v>
      </c>
      <c r="J242">
        <v>2</v>
      </c>
    </row>
    <row r="243" spans="4:10" x14ac:dyDescent="0.3">
      <c r="D243" t="str">
        <v>219</v>
      </c>
      <c r="E243">
        <v>2</v>
      </c>
      <c r="F243">
        <v>55</v>
      </c>
      <c r="J243">
        <v>4.1500000000000004</v>
      </c>
    </row>
    <row r="244" spans="4:10" x14ac:dyDescent="0.3">
      <c r="D244" t="str">
        <v>220</v>
      </c>
      <c r="E244">
        <v>4.1500000000000004</v>
      </c>
      <c r="F244">
        <v>76</v>
      </c>
      <c r="J244">
        <v>1.867</v>
      </c>
    </row>
    <row r="245" spans="4:10" x14ac:dyDescent="0.3">
      <c r="D245" t="str">
        <v>221</v>
      </c>
      <c r="E245">
        <v>1.867</v>
      </c>
      <c r="F245">
        <v>50</v>
      </c>
      <c r="J245">
        <v>4.2670000000000003</v>
      </c>
    </row>
    <row r="246" spans="4:10" x14ac:dyDescent="0.3">
      <c r="D246" t="str">
        <v>222</v>
      </c>
      <c r="E246">
        <v>4.2670000000000003</v>
      </c>
      <c r="F246">
        <v>82</v>
      </c>
      <c r="J246">
        <v>1.75</v>
      </c>
    </row>
    <row r="247" spans="4:10" x14ac:dyDescent="0.3">
      <c r="D247" t="str">
        <v>223</v>
      </c>
      <c r="E247">
        <v>1.75</v>
      </c>
      <c r="F247">
        <v>54</v>
      </c>
      <c r="J247">
        <v>4.4829999999999997</v>
      </c>
    </row>
    <row r="248" spans="4:10" x14ac:dyDescent="0.3">
      <c r="D248" t="str">
        <v>224</v>
      </c>
      <c r="E248">
        <v>4.4829999999999997</v>
      </c>
      <c r="F248">
        <v>75</v>
      </c>
      <c r="J248">
        <v>4</v>
      </c>
    </row>
    <row r="249" spans="4:10" x14ac:dyDescent="0.3">
      <c r="D249" t="str">
        <v>225</v>
      </c>
      <c r="E249">
        <v>4</v>
      </c>
      <c r="F249">
        <v>78</v>
      </c>
      <c r="J249">
        <v>4.117</v>
      </c>
    </row>
    <row r="250" spans="4:10" x14ac:dyDescent="0.3">
      <c r="D250" t="str">
        <v>226</v>
      </c>
      <c r="E250">
        <v>4.117</v>
      </c>
      <c r="F250">
        <v>79</v>
      </c>
      <c r="J250">
        <v>4.0830000000000002</v>
      </c>
    </row>
    <row r="251" spans="4:10" x14ac:dyDescent="0.3">
      <c r="D251" t="str">
        <v>227</v>
      </c>
      <c r="E251">
        <v>4.0830000000000002</v>
      </c>
      <c r="F251">
        <v>78</v>
      </c>
      <c r="J251">
        <v>4.2670000000000003</v>
      </c>
    </row>
    <row r="252" spans="4:10" x14ac:dyDescent="0.3">
      <c r="D252" t="str">
        <v>228</v>
      </c>
      <c r="E252">
        <v>4.2670000000000003</v>
      </c>
      <c r="F252">
        <v>78</v>
      </c>
      <c r="J252">
        <v>3.9169999999999998</v>
      </c>
    </row>
    <row r="253" spans="4:10" x14ac:dyDescent="0.3">
      <c r="D253" t="str">
        <v>229</v>
      </c>
      <c r="E253">
        <v>3.9169999999999998</v>
      </c>
      <c r="F253">
        <v>70</v>
      </c>
      <c r="J253">
        <v>4.55</v>
      </c>
    </row>
    <row r="254" spans="4:10" x14ac:dyDescent="0.3">
      <c r="D254" t="str">
        <v>230</v>
      </c>
      <c r="E254">
        <v>4.55</v>
      </c>
      <c r="F254">
        <v>79</v>
      </c>
      <c r="J254">
        <v>4.0830000000000002</v>
      </c>
    </row>
    <row r="255" spans="4:10" x14ac:dyDescent="0.3">
      <c r="D255" t="str">
        <v>231</v>
      </c>
      <c r="E255">
        <v>4.0830000000000002</v>
      </c>
      <c r="F255">
        <v>70</v>
      </c>
      <c r="J255">
        <v>2.4169999999999998</v>
      </c>
    </row>
    <row r="256" spans="4:10" x14ac:dyDescent="0.3">
      <c r="D256" t="str">
        <v>232</v>
      </c>
      <c r="E256">
        <v>2.4169999999999998</v>
      </c>
      <c r="F256">
        <v>54</v>
      </c>
      <c r="J256">
        <v>4.1829999999999998</v>
      </c>
    </row>
    <row r="257" spans="4:10" x14ac:dyDescent="0.3">
      <c r="D257" t="str">
        <v>233</v>
      </c>
      <c r="E257">
        <v>4.1829999999999998</v>
      </c>
      <c r="F257">
        <v>86</v>
      </c>
      <c r="J257">
        <v>2.2170000000000001</v>
      </c>
    </row>
    <row r="258" spans="4:10" x14ac:dyDescent="0.3">
      <c r="D258" t="str">
        <v>234</v>
      </c>
      <c r="E258">
        <v>2.2170000000000001</v>
      </c>
      <c r="F258">
        <v>50</v>
      </c>
      <c r="J258">
        <v>4.45</v>
      </c>
    </row>
    <row r="259" spans="4:10" x14ac:dyDescent="0.3">
      <c r="D259" t="str">
        <v>235</v>
      </c>
      <c r="E259">
        <v>4.45</v>
      </c>
      <c r="F259">
        <v>90</v>
      </c>
      <c r="J259">
        <v>1.883</v>
      </c>
    </row>
    <row r="260" spans="4:10" x14ac:dyDescent="0.3">
      <c r="D260" t="str">
        <v>236</v>
      </c>
      <c r="E260">
        <v>1.883</v>
      </c>
      <c r="F260">
        <v>54</v>
      </c>
      <c r="J260">
        <v>1.85</v>
      </c>
    </row>
    <row r="261" spans="4:10" x14ac:dyDescent="0.3">
      <c r="D261" t="str">
        <v>237</v>
      </c>
      <c r="E261">
        <v>1.85</v>
      </c>
      <c r="F261">
        <v>54</v>
      </c>
      <c r="J261">
        <v>4.2830000000000004</v>
      </c>
    </row>
    <row r="262" spans="4:10" x14ac:dyDescent="0.3">
      <c r="D262" t="str">
        <v>238</v>
      </c>
      <c r="E262">
        <v>4.2830000000000004</v>
      </c>
      <c r="F262">
        <v>77</v>
      </c>
      <c r="J262">
        <v>3.95</v>
      </c>
    </row>
    <row r="263" spans="4:10" x14ac:dyDescent="0.3">
      <c r="D263" t="str">
        <v>239</v>
      </c>
      <c r="E263">
        <v>3.95</v>
      </c>
      <c r="F263">
        <v>79</v>
      </c>
      <c r="J263">
        <v>2.3330000000000002</v>
      </c>
    </row>
    <row r="264" spans="4:10" x14ac:dyDescent="0.3">
      <c r="D264" t="str">
        <v>240</v>
      </c>
      <c r="E264">
        <v>2.3330000000000002</v>
      </c>
      <c r="F264">
        <v>64</v>
      </c>
      <c r="J264">
        <v>4.1500000000000004</v>
      </c>
    </row>
    <row r="265" spans="4:10" x14ac:dyDescent="0.3">
      <c r="D265" t="str">
        <v>241</v>
      </c>
      <c r="E265">
        <v>4.1500000000000004</v>
      </c>
      <c r="F265">
        <v>75</v>
      </c>
      <c r="J265">
        <v>2.35</v>
      </c>
    </row>
    <row r="266" spans="4:10" x14ac:dyDescent="0.3">
      <c r="D266" t="str">
        <v>242</v>
      </c>
      <c r="E266">
        <v>2.35</v>
      </c>
      <c r="F266">
        <v>47</v>
      </c>
      <c r="J266">
        <v>4.9329999999999998</v>
      </c>
    </row>
    <row r="267" spans="4:10" x14ac:dyDescent="0.3">
      <c r="D267" t="str">
        <v>243</v>
      </c>
      <c r="E267">
        <v>4.9329999999999998</v>
      </c>
      <c r="F267">
        <v>86</v>
      </c>
      <c r="J267">
        <v>2.9</v>
      </c>
    </row>
    <row r="268" spans="4:10" x14ac:dyDescent="0.3">
      <c r="D268" t="str">
        <v>244</v>
      </c>
      <c r="E268">
        <v>2.9</v>
      </c>
      <c r="F268">
        <v>63</v>
      </c>
      <c r="J268">
        <v>4.5830000000000002</v>
      </c>
    </row>
    <row r="269" spans="4:10" x14ac:dyDescent="0.3">
      <c r="D269" t="str">
        <v>245</v>
      </c>
      <c r="E269">
        <v>4.5830000000000002</v>
      </c>
      <c r="F269">
        <v>85</v>
      </c>
      <c r="J269">
        <v>3.8330000000000002</v>
      </c>
    </row>
    <row r="270" spans="4:10" x14ac:dyDescent="0.3">
      <c r="D270" t="str">
        <v>246</v>
      </c>
      <c r="E270">
        <v>3.8330000000000002</v>
      </c>
      <c r="F270">
        <v>82</v>
      </c>
      <c r="J270">
        <v>2.0830000000000002</v>
      </c>
    </row>
    <row r="271" spans="4:10" x14ac:dyDescent="0.3">
      <c r="D271" t="str">
        <v>247</v>
      </c>
      <c r="E271">
        <v>2.0830000000000002</v>
      </c>
      <c r="F271">
        <v>57</v>
      </c>
      <c r="J271">
        <v>4.367</v>
      </c>
    </row>
    <row r="272" spans="4:10" x14ac:dyDescent="0.3">
      <c r="D272" t="str">
        <v>248</v>
      </c>
      <c r="E272">
        <v>4.367</v>
      </c>
      <c r="F272">
        <v>82</v>
      </c>
      <c r="J272">
        <v>2.133</v>
      </c>
    </row>
    <row r="273" spans="4:10" x14ac:dyDescent="0.3">
      <c r="D273" t="str">
        <v>249</v>
      </c>
      <c r="E273">
        <v>2.133</v>
      </c>
      <c r="F273">
        <v>67</v>
      </c>
      <c r="J273">
        <v>4.3499999999999996</v>
      </c>
    </row>
    <row r="274" spans="4:10" x14ac:dyDescent="0.3">
      <c r="D274" t="str">
        <v>250</v>
      </c>
      <c r="E274">
        <v>4.3499999999999996</v>
      </c>
      <c r="F274">
        <v>74</v>
      </c>
      <c r="J274">
        <v>2.2000000000000002</v>
      </c>
    </row>
    <row r="275" spans="4:10" x14ac:dyDescent="0.3">
      <c r="D275" t="str">
        <v>251</v>
      </c>
      <c r="E275">
        <v>2.2000000000000002</v>
      </c>
      <c r="F275">
        <v>54</v>
      </c>
      <c r="J275">
        <v>4.45</v>
      </c>
    </row>
    <row r="276" spans="4:10" x14ac:dyDescent="0.3">
      <c r="D276" t="str">
        <v>252</v>
      </c>
      <c r="E276">
        <v>4.45</v>
      </c>
      <c r="F276">
        <v>83</v>
      </c>
      <c r="J276">
        <v>3.5670000000000002</v>
      </c>
    </row>
    <row r="277" spans="4:10" x14ac:dyDescent="0.3">
      <c r="D277" t="str">
        <v>253</v>
      </c>
      <c r="E277">
        <v>3.5670000000000002</v>
      </c>
      <c r="F277">
        <v>73</v>
      </c>
      <c r="J277">
        <v>4.5</v>
      </c>
    </row>
    <row r="278" spans="4:10" x14ac:dyDescent="0.3">
      <c r="D278" t="str">
        <v>254</v>
      </c>
      <c r="E278">
        <v>4.5</v>
      </c>
      <c r="F278">
        <v>73</v>
      </c>
      <c r="J278">
        <v>4.1500000000000004</v>
      </c>
    </row>
    <row r="279" spans="4:10" x14ac:dyDescent="0.3">
      <c r="D279" t="str">
        <v>255</v>
      </c>
      <c r="E279">
        <v>4.1500000000000004</v>
      </c>
      <c r="F279">
        <v>88</v>
      </c>
      <c r="J279">
        <v>3.8170000000000002</v>
      </c>
    </row>
    <row r="280" spans="4:10" x14ac:dyDescent="0.3">
      <c r="D280" t="str">
        <v>256</v>
      </c>
      <c r="E280">
        <v>3.8170000000000002</v>
      </c>
      <c r="F280">
        <v>80</v>
      </c>
      <c r="J280">
        <v>3.9169999999999998</v>
      </c>
    </row>
    <row r="281" spans="4:10" x14ac:dyDescent="0.3">
      <c r="D281" t="str">
        <v>257</v>
      </c>
      <c r="E281">
        <v>3.9169999999999998</v>
      </c>
      <c r="F281">
        <v>71</v>
      </c>
      <c r="J281">
        <v>4.45</v>
      </c>
    </row>
    <row r="282" spans="4:10" x14ac:dyDescent="0.3">
      <c r="D282" t="str">
        <v>258</v>
      </c>
      <c r="E282">
        <v>4.45</v>
      </c>
      <c r="F282">
        <v>83</v>
      </c>
      <c r="J282">
        <v>2</v>
      </c>
    </row>
    <row r="283" spans="4:10" x14ac:dyDescent="0.3">
      <c r="D283" t="str">
        <v>259</v>
      </c>
      <c r="E283">
        <v>2</v>
      </c>
      <c r="F283">
        <v>56</v>
      </c>
      <c r="J283">
        <v>4.2830000000000004</v>
      </c>
    </row>
    <row r="284" spans="4:10" x14ac:dyDescent="0.3">
      <c r="D284" t="str">
        <v>260</v>
      </c>
      <c r="E284">
        <v>4.2830000000000004</v>
      </c>
      <c r="F284">
        <v>79</v>
      </c>
      <c r="J284">
        <v>4.7670000000000003</v>
      </c>
    </row>
    <row r="285" spans="4:10" x14ac:dyDescent="0.3">
      <c r="D285" t="str">
        <v>261</v>
      </c>
      <c r="E285">
        <v>4.7670000000000003</v>
      </c>
      <c r="F285">
        <v>78</v>
      </c>
      <c r="J285">
        <v>4.5330000000000004</v>
      </c>
    </row>
    <row r="286" spans="4:10" x14ac:dyDescent="0.3">
      <c r="D286" t="str">
        <v>262</v>
      </c>
      <c r="E286">
        <v>4.5330000000000004</v>
      </c>
      <c r="F286">
        <v>84</v>
      </c>
      <c r="J286">
        <v>1.85</v>
      </c>
    </row>
    <row r="287" spans="4:10" x14ac:dyDescent="0.3">
      <c r="D287" t="str">
        <v>263</v>
      </c>
      <c r="E287">
        <v>1.85</v>
      </c>
      <c r="F287">
        <v>58</v>
      </c>
      <c r="J287">
        <v>4.25</v>
      </c>
    </row>
    <row r="288" spans="4:10" x14ac:dyDescent="0.3">
      <c r="D288" t="str">
        <v>264</v>
      </c>
      <c r="E288">
        <v>4.25</v>
      </c>
      <c r="F288">
        <v>83</v>
      </c>
      <c r="J288">
        <v>1.9830000000000001</v>
      </c>
    </row>
    <row r="289" spans="2:10" x14ac:dyDescent="0.3">
      <c r="D289" t="str">
        <v>265</v>
      </c>
      <c r="E289">
        <v>1.9830000000000001</v>
      </c>
      <c r="F289">
        <v>43</v>
      </c>
      <c r="J289">
        <v>2.25</v>
      </c>
    </row>
    <row r="290" spans="2:10" x14ac:dyDescent="0.3">
      <c r="D290" t="str">
        <v>266</v>
      </c>
      <c r="E290">
        <v>2.25</v>
      </c>
      <c r="F290">
        <v>60</v>
      </c>
      <c r="J290">
        <v>4.75</v>
      </c>
    </row>
    <row r="291" spans="2:10" x14ac:dyDescent="0.3">
      <c r="D291" t="str">
        <v>267</v>
      </c>
      <c r="E291">
        <v>4.75</v>
      </c>
      <c r="F291">
        <v>75</v>
      </c>
      <c r="J291">
        <v>4.117</v>
      </c>
    </row>
    <row r="292" spans="2:10" x14ac:dyDescent="0.3">
      <c r="D292" t="str">
        <v>268</v>
      </c>
      <c r="E292">
        <v>4.117</v>
      </c>
      <c r="F292">
        <v>81</v>
      </c>
      <c r="J292">
        <v>2.15</v>
      </c>
    </row>
    <row r="293" spans="2:10" x14ac:dyDescent="0.3">
      <c r="D293" t="str">
        <v>269</v>
      </c>
      <c r="E293">
        <v>2.15</v>
      </c>
      <c r="F293">
        <v>46</v>
      </c>
      <c r="J293">
        <v>4.4169999999999998</v>
      </c>
    </row>
    <row r="294" spans="2:10" x14ac:dyDescent="0.3">
      <c r="D294" t="str">
        <v>270</v>
      </c>
      <c r="E294">
        <v>4.4169999999999998</v>
      </c>
      <c r="F294">
        <v>90</v>
      </c>
      <c r="J294">
        <v>1.8169999999999999</v>
      </c>
    </row>
    <row r="295" spans="2:10" x14ac:dyDescent="0.3">
      <c r="D295" t="str">
        <v>271</v>
      </c>
      <c r="E295">
        <v>1.8169999999999999</v>
      </c>
      <c r="F295">
        <v>46</v>
      </c>
      <c r="J295">
        <v>4.4669999999999996</v>
      </c>
    </row>
    <row r="296" spans="2:10" x14ac:dyDescent="0.3">
      <c r="D296" t="str">
        <v>272</v>
      </c>
      <c r="E296">
        <v>4.4669999999999996</v>
      </c>
      <c r="F296">
        <v>74</v>
      </c>
    </row>
    <row r="298" spans="2:10" x14ac:dyDescent="0.3">
      <c r="B298" t="s">
        <v>141</v>
      </c>
      <c r="D298" t="str" cm="1">
        <f t="array" ref="D298">_xll.RScript.Evaluate(B298)</f>
        <v>Exception: Unable to display the contents. Unknown expression type.</v>
      </c>
    </row>
    <row r="299" spans="2:10" x14ac:dyDescent="0.3">
      <c r="B299" t="s">
        <v>138</v>
      </c>
      <c r="D299" t="str" cm="1">
        <f t="array" ref="D299:I299">TRANSPOSE(_xll.RScript.Evaluate(B299))</f>
        <v>breaks</v>
      </c>
      <c r="E299" t="str">
        <v>counts</v>
      </c>
      <c r="F299" t="str">
        <v>density</v>
      </c>
      <c r="G299" t="str">
        <v>mids</v>
      </c>
      <c r="H299" t="str">
        <v>xname</v>
      </c>
      <c r="I299" t="str">
        <v>equidist</v>
      </c>
    </row>
    <row r="300" spans="2:10" x14ac:dyDescent="0.3">
      <c r="B300" t="s">
        <v>139</v>
      </c>
      <c r="D300" t="str" cm="1">
        <f t="array" ref="D300">_xll.RScript.Evaluate(B300)</f>
        <v>Empty expression result.</v>
      </c>
    </row>
    <row r="301" spans="2:10" x14ac:dyDescent="0.3">
      <c r="B301" t="s">
        <v>140</v>
      </c>
      <c r="D301" s="5" t="s">
        <v>142</v>
      </c>
    </row>
    <row r="321" spans="2:7" x14ac:dyDescent="0.3">
      <c r="B321" t="s">
        <v>143</v>
      </c>
      <c r="D321" t="str" cm="1">
        <f t="array" ref="D321">_xll.RScript.Evaluate(B321)</f>
        <v>A_8</v>
      </c>
    </row>
    <row r="322" spans="2:7" x14ac:dyDescent="0.3">
      <c r="B322" t="s">
        <v>144</v>
      </c>
      <c r="D322" t="str" cm="1">
        <f t="array" ref="D322">_xll.RScript.Evaluate(B322)</f>
        <v>B_8</v>
      </c>
    </row>
    <row r="323" spans="2:7" x14ac:dyDescent="0.3">
      <c r="B323" t="s">
        <v>145</v>
      </c>
      <c r="D323" t="str" cm="1">
        <f t="array" ref="D323:D328">_xll.RScript.Evaluate(B323)</f>
        <v>stats</v>
      </c>
    </row>
    <row r="324" spans="2:7" x14ac:dyDescent="0.3">
      <c r="D324" t="str">
        <v>n</v>
      </c>
    </row>
    <row r="325" spans="2:7" x14ac:dyDescent="0.3">
      <c r="D325" t="str">
        <v>conf</v>
      </c>
    </row>
    <row r="326" spans="2:7" x14ac:dyDescent="0.3">
      <c r="D326" t="str">
        <v>out</v>
      </c>
    </row>
    <row r="327" spans="2:7" x14ac:dyDescent="0.3">
      <c r="D327" t="str">
        <v>group</v>
      </c>
    </row>
    <row r="328" spans="2:7" x14ac:dyDescent="0.3">
      <c r="D328" t="str">
        <v>names</v>
      </c>
    </row>
    <row r="334" spans="2:7" x14ac:dyDescent="0.3">
      <c r="B334" t="s">
        <v>146</v>
      </c>
      <c r="D334" t="str" cm="1">
        <f t="array" ref="D334">_xll.RScript.Evaluate(B334)</f>
        <v>tt_8</v>
      </c>
      <c r="E334" t="str">
        <f>"names("&amp;D334&amp;")"</f>
        <v>names(tt_8)</v>
      </c>
      <c r="F334" t="str" cm="1">
        <f t="array" ref="F334:F343">_xll.RScript.Evaluate(D334)</f>
        <v>statistic</v>
      </c>
      <c r="G334" cm="1">
        <f t="array" ref="G334">TRANSPOSE(_xll.RScript.Evaluate($D$334&amp;"$"&amp;F334))</f>
        <v>3.2498673805552234</v>
      </c>
    </row>
    <row r="335" spans="2:7" x14ac:dyDescent="0.3">
      <c r="F335" t="str">
        <v>parameter</v>
      </c>
      <c r="G335" cm="1">
        <f t="array" ref="G335">TRANSPOSE(_xll.RScript.Evaluate($D$334&amp;"$"&amp;F335))</f>
        <v>12.027108494518242</v>
      </c>
    </row>
    <row r="336" spans="2:7" x14ac:dyDescent="0.3">
      <c r="F336" t="str">
        <v>p.value</v>
      </c>
      <c r="G336" cm="1">
        <f t="array" ref="G336">TRANSPOSE(_xll.RScript.Evaluate($D$334&amp;"$"&amp;F336))</f>
        <v>6.9393266144479378E-3</v>
      </c>
    </row>
    <row r="337" spans="2:8" x14ac:dyDescent="0.3">
      <c r="F337" t="str">
        <v>conf.int</v>
      </c>
      <c r="G337" cm="1">
        <f t="array" ref="G337:H337">TRANSPOSE(_xll.RScript.Evaluate($D$334&amp;"$"&amp;F337))</f>
        <v>1.3855263726624241E-2</v>
      </c>
      <c r="H337">
        <v>7.0183197811830828E-2</v>
      </c>
    </row>
    <row r="338" spans="2:8" x14ac:dyDescent="0.3">
      <c r="F338" t="str">
        <v>estimate</v>
      </c>
      <c r="G338" cm="1">
        <f t="array" ref="G338:H338">TRANSPOSE(_xll.RScript.Evaluate($D$334&amp;"$"&amp;F338))</f>
        <v>80.020769230769233</v>
      </c>
      <c r="H338">
        <v>79.978750000000005</v>
      </c>
    </row>
    <row r="339" spans="2:8" x14ac:dyDescent="0.3">
      <c r="F339" t="str">
        <v>null.value</v>
      </c>
      <c r="G339" cm="1">
        <f t="array" ref="G339">TRANSPOSE(_xll.RScript.Evaluate($D$334&amp;"$"&amp;F339))</f>
        <v>0</v>
      </c>
    </row>
    <row r="340" spans="2:8" x14ac:dyDescent="0.3">
      <c r="F340" t="str">
        <v>stderr</v>
      </c>
      <c r="G340" cm="1">
        <f t="array" ref="G340">TRANSPOSE(_xll.RScript.Evaluate($D$334&amp;"$"&amp;F340))</f>
        <v>1.292952168468141E-2</v>
      </c>
    </row>
    <row r="341" spans="2:8" x14ac:dyDescent="0.3">
      <c r="F341" t="str">
        <v>alternative</v>
      </c>
      <c r="G341" t="str" cm="1">
        <f t="array" ref="G341">TRANSPOSE(_xll.RScript.Evaluate($D$334&amp;"$"&amp;F341))</f>
        <v>two.sided</v>
      </c>
    </row>
    <row r="342" spans="2:8" x14ac:dyDescent="0.3">
      <c r="F342" t="str">
        <v>method</v>
      </c>
      <c r="G342" t="str" cm="1">
        <f t="array" ref="G342">TRANSPOSE(_xll.RScript.Evaluate($D$334&amp;"$"&amp;F342))</f>
        <v>Welch Two Sample t-test</v>
      </c>
    </row>
    <row r="343" spans="2:8" x14ac:dyDescent="0.3">
      <c r="F343" t="str">
        <v>data.name</v>
      </c>
      <c r="G343" t="str" cm="1">
        <f t="array" ref="G343">TRANSPOSE(_xll.RScript.Evaluate($D$334&amp;"$"&amp;F343))</f>
        <v>A_8 and B_8</v>
      </c>
    </row>
    <row r="345" spans="2:8" x14ac:dyDescent="0.3">
      <c r="B345" t="s">
        <v>147</v>
      </c>
      <c r="D345" t="str" cm="1">
        <f t="array" ref="D345">_xll.RScript.Evaluate(B345)</f>
        <v>vt_8</v>
      </c>
      <c r="E345" t="str">
        <f>"names("&amp;D345&amp;")"</f>
        <v>names(vt_8)</v>
      </c>
      <c r="F345" t="str" cm="1">
        <f t="array" ref="F345:F353">_xll.RScript.Evaluate(E345)</f>
        <v>statistic</v>
      </c>
      <c r="G345" cm="1">
        <f t="array" ref="G345">TRANSPOSE(_xll.RScript.Evaluate($D$345&amp;"$"&amp;F345))</f>
        <v>0.58374051840481245</v>
      </c>
    </row>
    <row r="346" spans="2:8" x14ac:dyDescent="0.3">
      <c r="F346" t="str">
        <v>parameter</v>
      </c>
      <c r="G346" cm="1">
        <f t="array" ref="G346:H346">TRANSPOSE(_xll.RScript.Evaluate($D$345&amp;"$"&amp;F346))</f>
        <v>12</v>
      </c>
      <c r="H346">
        <v>7</v>
      </c>
    </row>
    <row r="347" spans="2:8" x14ac:dyDescent="0.3">
      <c r="F347" t="str">
        <v>p.value</v>
      </c>
      <c r="G347" cm="1">
        <f t="array" ref="G347">TRANSPOSE(_xll.RScript.Evaluate($D$345&amp;"$"&amp;F347))</f>
        <v>0.3937689829833409</v>
      </c>
    </row>
    <row r="348" spans="2:8" x14ac:dyDescent="0.3">
      <c r="F348" t="str">
        <v>conf.int</v>
      </c>
      <c r="G348" cm="1">
        <f t="array" ref="G348:H348">TRANSPOSE(_xll.RScript.Evaluate($D$345&amp;"$"&amp;F348))</f>
        <v>0.1251096919187239</v>
      </c>
      <c r="H348">
        <v>2.1052687268843089</v>
      </c>
    </row>
    <row r="349" spans="2:8" x14ac:dyDescent="0.3">
      <c r="F349" t="str">
        <v>estimate</v>
      </c>
      <c r="G349" cm="1">
        <f t="array" ref="G349">TRANSPOSE(_xll.RScript.Evaluate($D$345&amp;"$"&amp;F349))</f>
        <v>0.58374051840481245</v>
      </c>
    </row>
    <row r="350" spans="2:8" x14ac:dyDescent="0.3">
      <c r="F350" t="str">
        <v>null.value</v>
      </c>
      <c r="G350" cm="1">
        <f t="array" ref="G350">TRANSPOSE(_xll.RScript.Evaluate($D$345&amp;"$"&amp;F350))</f>
        <v>1</v>
      </c>
    </row>
    <row r="351" spans="2:8" x14ac:dyDescent="0.3">
      <c r="F351" t="str">
        <v>alternative</v>
      </c>
      <c r="G351" t="str" cm="1">
        <f t="array" ref="G351">TRANSPOSE(_xll.RScript.Evaluate($D$345&amp;"$"&amp;F351))</f>
        <v>two.sided</v>
      </c>
    </row>
    <row r="352" spans="2:8" x14ac:dyDescent="0.3">
      <c r="F352" t="str">
        <v>method</v>
      </c>
      <c r="G352" t="str" cm="1">
        <f t="array" ref="G352">TRANSPOSE(_xll.RScript.Evaluate($D$345&amp;"$"&amp;F352))</f>
        <v>F test to compare two variances</v>
      </c>
    </row>
    <row r="353" spans="6:7" x14ac:dyDescent="0.3">
      <c r="F353" t="str">
        <v>data.name</v>
      </c>
      <c r="G353" t="str" cm="1">
        <f t="array" ref="G353">TRANSPOSE(_xll.RScript.Evaluate($D$345&amp;"$"&amp;F353))</f>
        <v>A_8 and B_8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E551-B993-4D11-9442-0B1F6AF1ADF3}">
  <dimension ref="B2:F20"/>
  <sheetViews>
    <sheetView workbookViewId="0">
      <selection activeCell="D2" sqref="D2"/>
    </sheetView>
  </sheetViews>
  <sheetFormatPr defaultRowHeight="14.4" x14ac:dyDescent="0.3"/>
  <cols>
    <col min="2" max="2" width="86.21875" customWidth="1"/>
    <col min="4" max="4" width="14.5546875" customWidth="1"/>
    <col min="5" max="5" width="21" customWidth="1"/>
  </cols>
  <sheetData>
    <row r="2" spans="2:6" ht="100.8" x14ac:dyDescent="0.3">
      <c r="B2" s="3" t="s">
        <v>165</v>
      </c>
      <c r="D2" t="str" cm="1">
        <f t="array" ref="D2">_xll.RScript.Evaluate(B2)</f>
        <v>Exception: Status Error for typeof({
A_9)
 : unexpected ')'</v>
      </c>
    </row>
    <row r="6" spans="2:6" x14ac:dyDescent="0.3">
      <c r="B6" t="s">
        <v>159</v>
      </c>
      <c r="D6" t="str" cm="1">
        <f t="array" ref="D6">_xll.RScript.Evaluate(B6)</f>
        <v>A_9</v>
      </c>
    </row>
    <row r="7" spans="2:6" x14ac:dyDescent="0.3">
      <c r="B7" t="s">
        <v>160</v>
      </c>
      <c r="D7" t="str" cm="1">
        <f t="array" ref="D7">_xll.RScript.Evaluate(B7)</f>
        <v>B_9</v>
      </c>
    </row>
    <row r="8" spans="2:6" x14ac:dyDescent="0.3">
      <c r="B8" t="s">
        <v>161</v>
      </c>
      <c r="D8" t="str" cm="1">
        <f t="array" ref="D8">_xll.RScript.Evaluate(B8)</f>
        <v>tt_9</v>
      </c>
    </row>
    <row r="9" spans="2:6" x14ac:dyDescent="0.3">
      <c r="B9" t="s">
        <v>162</v>
      </c>
      <c r="D9" cm="1">
        <f t="array" ref="D9">_xll.RScript.Evaluate(B9)</f>
        <v>3.2498673805552234</v>
      </c>
    </row>
    <row r="11" spans="2:6" x14ac:dyDescent="0.3">
      <c r="B11" t="s">
        <v>163</v>
      </c>
      <c r="D11" t="str" cm="1">
        <f t="array" ref="D11:D20">_xll.RScript.Evaluate(B11)</f>
        <v>statistic</v>
      </c>
      <c r="E11" cm="1">
        <f t="array" ref="E11">_xll.RScript.Evaluate($B$11&amp;"$"&amp;D11)</f>
        <v>3.2498673805552234</v>
      </c>
    </row>
    <row r="12" spans="2:6" x14ac:dyDescent="0.3">
      <c r="D12" t="str">
        <v>parameter</v>
      </c>
      <c r="E12" cm="1">
        <f t="array" ref="E12">_xll.RScript.Evaluate($B$11&amp;"$"&amp;D12)</f>
        <v>12.027108494518242</v>
      </c>
    </row>
    <row r="13" spans="2:6" x14ac:dyDescent="0.3">
      <c r="D13" t="str">
        <v>p.value</v>
      </c>
      <c r="E13" cm="1">
        <f t="array" ref="E13">_xll.RScript.Evaluate($B$11&amp;"$"&amp;D13)</f>
        <v>6.9393266144479378E-3</v>
      </c>
    </row>
    <row r="14" spans="2:6" x14ac:dyDescent="0.3">
      <c r="D14" t="str">
        <v>conf.int</v>
      </c>
      <c r="E14" cm="1">
        <f t="array" ref="E14:F14">TRANSPOSE(_xll.RScript.Evaluate($B$11&amp;"$"&amp;D14))</f>
        <v>1.3855263726624241E-2</v>
      </c>
      <c r="F14">
        <v>7.0183197811830828E-2</v>
      </c>
    </row>
    <row r="15" spans="2:6" x14ac:dyDescent="0.3">
      <c r="D15" t="str">
        <v>estimate</v>
      </c>
      <c r="E15" cm="1">
        <f t="array" ref="E15:F15">TRANSPOSE(_xll.RScript.Evaluate($B$11&amp;"$"&amp;D15))</f>
        <v>80.020769230769233</v>
      </c>
      <c r="F15">
        <v>79.978750000000005</v>
      </c>
    </row>
    <row r="16" spans="2:6" x14ac:dyDescent="0.3">
      <c r="D16" t="str">
        <v>null.value</v>
      </c>
      <c r="E16" cm="1">
        <f t="array" ref="E16">_xll.RScript.Evaluate($B$11&amp;"$"&amp;D16)</f>
        <v>0</v>
      </c>
    </row>
    <row r="17" spans="4:5" x14ac:dyDescent="0.3">
      <c r="D17" t="str">
        <v>stderr</v>
      </c>
      <c r="E17" cm="1">
        <f t="array" ref="E17">_xll.RScript.Evaluate($B$11&amp;"$"&amp;D17)</f>
        <v>1.292952168468141E-2</v>
      </c>
    </row>
    <row r="18" spans="4:5" x14ac:dyDescent="0.3">
      <c r="D18" t="str">
        <v>alternative</v>
      </c>
      <c r="E18" t="str" cm="1">
        <f t="array" ref="E18">_xll.RScript.Evaluate($B$11&amp;"$"&amp;D18)</f>
        <v>two.sided</v>
      </c>
    </row>
    <row r="19" spans="4:5" x14ac:dyDescent="0.3">
      <c r="D19" t="str">
        <v>method</v>
      </c>
      <c r="E19" t="str" cm="1">
        <f t="array" ref="E19">_xll.RScript.Evaluate($B$11&amp;"$"&amp;D19)</f>
        <v>Welch Two Sample t-test</v>
      </c>
    </row>
    <row r="20" spans="4:5" x14ac:dyDescent="0.3">
      <c r="D20" t="str">
        <v>data.name</v>
      </c>
      <c r="E20" t="str" cm="1">
        <f t="array" ref="E20">_xll.RScript.Evaluate($B$11&amp;"$"&amp;D20)</f>
        <v>A_9 and B_9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9709-3799-49E9-B2EA-19C23BE25D9B}">
  <dimension ref="B2:D8"/>
  <sheetViews>
    <sheetView workbookViewId="0">
      <selection activeCell="D8" sqref="D8"/>
    </sheetView>
  </sheetViews>
  <sheetFormatPr defaultRowHeight="14.4" x14ac:dyDescent="0.3"/>
  <cols>
    <col min="2" max="2" width="77.5546875" customWidth="1"/>
  </cols>
  <sheetData>
    <row r="2" spans="2:4" ht="115.2" x14ac:dyDescent="0.3">
      <c r="B2" s="3" t="s">
        <v>148</v>
      </c>
      <c r="D2" t="str" cm="1">
        <f t="array" ref="D2">_xll.RScript.Evaluate(B2)</f>
        <v>twosam</v>
      </c>
    </row>
    <row r="4" spans="2:4" x14ac:dyDescent="0.3">
      <c r="B4" t="s">
        <v>150</v>
      </c>
      <c r="D4" t="str" cm="1">
        <f t="array" ref="D4">_xll.RScript.Evaluate(B4)</f>
        <v>A_10</v>
      </c>
    </row>
    <row r="5" spans="2:4" x14ac:dyDescent="0.3">
      <c r="B5" t="s">
        <v>151</v>
      </c>
      <c r="D5" t="str" cm="1">
        <f t="array" ref="D5">_xll.RScript.Evaluate(B5)</f>
        <v>B_10</v>
      </c>
    </row>
    <row r="7" spans="2:4" x14ac:dyDescent="0.3">
      <c r="B7" t="s">
        <v>152</v>
      </c>
      <c r="D7" t="str" cm="1">
        <f t="array" ref="D7">_xll.RScript.Evaluate(B7)</f>
        <v>tstat</v>
      </c>
    </row>
    <row r="8" spans="2:4" x14ac:dyDescent="0.3">
      <c r="B8" t="s">
        <v>149</v>
      </c>
      <c r="D8" cm="1">
        <f t="array" ref="D8">_xll.RScript.Evaluate(B8)</f>
        <v>3.472244847093795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CC98-D9ED-4DB2-8495-68A15FEA461E}">
  <dimension ref="A1"/>
  <sheetViews>
    <sheetView workbookViewId="0">
      <selection activeCell="B2" sqref="B2"/>
    </sheetView>
  </sheetViews>
  <sheetFormatPr defaultRowHeight="14.4" x14ac:dyDescent="0.3"/>
  <cols>
    <col min="2" max="2" width="32.6640625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DB07-7086-4D06-BA56-9FCDAEBB52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B13F-7ED8-4CDA-934B-BC8B7C5F0A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D4EB-5BF9-46F1-B39E-1EE79B0BEDC6}">
  <dimension ref="B2:K691"/>
  <sheetViews>
    <sheetView workbookViewId="0"/>
  </sheetViews>
  <sheetFormatPr defaultRowHeight="14.4" x14ac:dyDescent="0.3"/>
  <cols>
    <col min="2" max="2" width="20.109375" customWidth="1"/>
    <col min="9" max="9" width="13.33203125" bestFit="1" customWidth="1"/>
    <col min="10" max="10" width="17.44140625" bestFit="1" customWidth="1"/>
    <col min="11" max="11" width="75.6640625" customWidth="1"/>
  </cols>
  <sheetData>
    <row r="2" spans="2:11" x14ac:dyDescent="0.3">
      <c r="B2" t="s">
        <v>153</v>
      </c>
      <c r="D2" t="str" cm="1">
        <f t="array" ref="D2">_xll.RScript.Evaluate(B2)</f>
        <v>libs</v>
      </c>
      <c r="E2" t="str" cm="1">
        <f t="array" ref="E2:E4">_xll.RScript.Evaluate("names(libs)")</f>
        <v>header</v>
      </c>
      <c r="F2" t="str" cm="1">
        <f t="array" ref="F2">TRANSPOSE(_xll.RScript.Evaluate($D$2&amp;"$"&amp;E2))</f>
        <v>OK</v>
      </c>
    </row>
    <row r="3" spans="2:11" x14ac:dyDescent="0.3">
      <c r="E3" t="str">
        <v>results</v>
      </c>
      <c r="I3" t="str" cm="1">
        <f t="array" ref="I3:K691">_xll.RScript.Evaluate($D$2&amp;"$"&amp;E3)</f>
        <v>abind</v>
      </c>
      <c r="J3" t="str">
        <v>D:/R/R-4.5.2/library</v>
      </c>
      <c r="K3" t="str">
        <v>Combine Multidimensional Arrays</v>
      </c>
    </row>
    <row r="4" spans="2:11" x14ac:dyDescent="0.3">
      <c r="E4" t="str">
        <v>footer</v>
      </c>
      <c r="F4" t="str" cm="1">
        <f t="array" ref="F4">TRANSPOSE(_xll.RScript.Evaluate($D$2&amp;"$"&amp;E4))</f>
        <v>OK</v>
      </c>
      <c r="I4" t="str">
        <v>acepack</v>
      </c>
      <c r="J4" t="str">
        <v>D:/R/R-4.5.2/library</v>
      </c>
      <c r="K4" t="str">
        <v>ACE and AVAS for Selecting Multiple Regression Transformations</v>
      </c>
    </row>
    <row r="5" spans="2:11" x14ac:dyDescent="0.3">
      <c r="I5" t="str">
        <v>admisc</v>
      </c>
      <c r="J5" t="str">
        <v>D:/R/R-4.5.2/library</v>
      </c>
      <c r="K5" t="str">
        <v>Adrian Dusa's Miscellaneous</v>
      </c>
    </row>
    <row r="6" spans="2:11" x14ac:dyDescent="0.3">
      <c r="B6" t="s">
        <v>75</v>
      </c>
      <c r="D6" t="str" cm="1">
        <f t="array" ref="D6:D16">_xll.RScript.Evaluate(B6)</f>
        <v>am</v>
      </c>
      <c r="I6" t="str">
        <v>AER</v>
      </c>
      <c r="J6" t="str">
        <v>D:/R/R-4.5.2/library</v>
      </c>
      <c r="K6" t="str">
        <v>Applied Econometrics with R</v>
      </c>
    </row>
    <row r="7" spans="2:11" x14ac:dyDescent="0.3">
      <c r="D7" t="str">
        <v>carb</v>
      </c>
      <c r="I7" t="str">
        <v>afex</v>
      </c>
      <c r="J7" t="str">
        <v>D:/R/R-4.5.2/library</v>
      </c>
      <c r="K7" t="str">
        <v>Analysis of Factorial Experiments</v>
      </c>
    </row>
    <row r="8" spans="2:11" x14ac:dyDescent="0.3">
      <c r="D8" t="str">
        <v>cyl</v>
      </c>
      <c r="I8" t="str">
        <v>AlgDesign</v>
      </c>
      <c r="J8" t="str">
        <v>D:/R/R-4.5.2/library</v>
      </c>
      <c r="K8" t="str">
        <v>Algorithmic Experimental Design</v>
      </c>
    </row>
    <row r="9" spans="2:11" x14ac:dyDescent="0.3">
      <c r="D9" t="str">
        <v>disp</v>
      </c>
      <c r="I9" t="str">
        <v>alphavantager</v>
      </c>
      <c r="J9" t="str">
        <v>D:/R/R-4.5.2/library</v>
      </c>
      <c r="K9" t="str">
        <v>Lightweight Interface to the Alpha Vantage API</v>
      </c>
    </row>
    <row r="10" spans="2:11" x14ac:dyDescent="0.3">
      <c r="D10" t="str">
        <v>drat</v>
      </c>
      <c r="I10" t="str">
        <v>anndata</v>
      </c>
      <c r="J10" t="str">
        <v>D:/R/R-4.5.2/library</v>
      </c>
      <c r="K10" t="str">
        <v>'anndata' for R</v>
      </c>
    </row>
    <row r="11" spans="2:11" x14ac:dyDescent="0.3">
      <c r="D11" t="str">
        <v>gear</v>
      </c>
      <c r="I11" t="str">
        <v>anytime</v>
      </c>
      <c r="J11" t="str">
        <v>D:/R/R-4.5.2/library</v>
      </c>
      <c r="K11" t="str">
        <v>Anything to 'POSIXct' or 'Date' Converter</v>
      </c>
    </row>
    <row r="12" spans="2:11" x14ac:dyDescent="0.3">
      <c r="D12" t="str">
        <v>hp</v>
      </c>
      <c r="I12" t="str">
        <v>aplpack</v>
      </c>
      <c r="J12" t="str">
        <v>D:/R/R-4.5.2/library</v>
      </c>
      <c r="K12" t="str">
        <v>Another Plot Package: 'Bagplots', 'Iconplots', 'Summaryplots',
Slider Functions and Others</v>
      </c>
    </row>
    <row r="13" spans="2:11" x14ac:dyDescent="0.3">
      <c r="D13" t="str">
        <v>mpg</v>
      </c>
      <c r="I13" t="str">
        <v>arrayhelpers</v>
      </c>
      <c r="J13" t="str">
        <v>D:/R/R-4.5.2/library</v>
      </c>
      <c r="K13" t="str">
        <v>Convenience Functions for Arrays</v>
      </c>
    </row>
    <row r="14" spans="2:11" x14ac:dyDescent="0.3">
      <c r="D14" t="str">
        <v>qsec</v>
      </c>
      <c r="I14" t="str">
        <v>arrow</v>
      </c>
      <c r="J14" t="str">
        <v>D:/R/R-4.5.2/library</v>
      </c>
      <c r="K14" t="str">
        <v>Integration to 'Apache' 'Arrow'</v>
      </c>
    </row>
    <row r="15" spans="2:11" x14ac:dyDescent="0.3">
      <c r="D15" t="str">
        <v>vs</v>
      </c>
      <c r="I15" t="str">
        <v>arsenal</v>
      </c>
      <c r="J15" t="str">
        <v>D:/R/R-4.5.2/library</v>
      </c>
      <c r="K15" t="str">
        <v>An Arsenal of 'R' Functions for Large-Scale Statistical
Summaries</v>
      </c>
    </row>
    <row r="16" spans="2:11" x14ac:dyDescent="0.3">
      <c r="D16" t="str">
        <v>wt</v>
      </c>
      <c r="I16" t="str">
        <v>arules</v>
      </c>
      <c r="J16" t="str">
        <v>D:/R/R-4.5.2/library</v>
      </c>
      <c r="K16" t="str">
        <v>Mining Association Rules and Frequent Itemsets</v>
      </c>
    </row>
    <row r="17" spans="2:11" x14ac:dyDescent="0.3">
      <c r="I17" t="str">
        <v>arulesViz</v>
      </c>
      <c r="J17" t="str">
        <v>D:/R/R-4.5.2/library</v>
      </c>
      <c r="K17" t="str">
        <v>Visualizing Association Rules and Frequent Itemsets</v>
      </c>
    </row>
    <row r="18" spans="2:11" x14ac:dyDescent="0.3">
      <c r="I18" t="str">
        <v>asbio</v>
      </c>
      <c r="J18" t="str">
        <v>D:/R/R-4.5.2/library</v>
      </c>
      <c r="K18" t="str">
        <v>A Collection of Statistical Tools for Biologists</v>
      </c>
    </row>
    <row r="19" spans="2:11" x14ac:dyDescent="0.3">
      <c r="B19" t="s">
        <v>154</v>
      </c>
      <c r="D19" t="str" cm="1">
        <f t="array" ref="D19:D82">_xll.RScript.Evaluate(B19)</f>
        <v>methods</v>
      </c>
      <c r="I19" t="str">
        <v>ash</v>
      </c>
      <c r="J19" t="str">
        <v>D:/R/R-4.5.2/library</v>
      </c>
      <c r="K19" t="str">
        <v>David Scott's ASH Routines</v>
      </c>
    </row>
    <row r="20" spans="2:11" x14ac:dyDescent="0.3">
      <c r="D20" t="str">
        <v>graphics</v>
      </c>
      <c r="I20" t="str">
        <v>askpass</v>
      </c>
      <c r="J20" t="str">
        <v>D:/R/R-4.5.2/library</v>
      </c>
      <c r="K20" t="str">
        <v>Password Entry Utilities for R, Git, and SSH</v>
      </c>
    </row>
    <row r="21" spans="2:11" x14ac:dyDescent="0.3">
      <c r="D21" t="str">
        <v>generics</v>
      </c>
      <c r="I21" t="str">
        <v>assertthat</v>
      </c>
      <c r="J21" t="str">
        <v>D:/R/R-4.5.2/library</v>
      </c>
      <c r="K21" t="str">
        <v>Easy Pre and Post Assertions</v>
      </c>
    </row>
    <row r="22" spans="2:11" x14ac:dyDescent="0.3">
      <c r="D22" t="str">
        <v>tidyr</v>
      </c>
      <c r="I22" t="str">
        <v>backports</v>
      </c>
      <c r="J22" t="str">
        <v>D:/R/R-4.5.2/library</v>
      </c>
      <c r="K22" t="str">
        <v>Reimplementations of Functions Introduced Since R-3.0.0</v>
      </c>
    </row>
    <row r="23" spans="2:11" x14ac:dyDescent="0.3">
      <c r="D23" t="str">
        <v>stringi</v>
      </c>
      <c r="I23" t="str">
        <v>base</v>
      </c>
      <c r="J23" t="str">
        <v>D:/R/R-4.5.2/library</v>
      </c>
      <c r="K23" t="str">
        <v>The R Base Package</v>
      </c>
    </row>
    <row r="24" spans="2:11" x14ac:dyDescent="0.3">
      <c r="D24" t="str">
        <v>lattice</v>
      </c>
      <c r="I24" t="str">
        <v>base64enc</v>
      </c>
      <c r="J24" t="str">
        <v>D:/R/R-4.5.2/library</v>
      </c>
      <c r="K24" t="str">
        <v>Tools for base64 encoding</v>
      </c>
    </row>
    <row r="25" spans="2:11" x14ac:dyDescent="0.3">
      <c r="D25" t="str">
        <v>hms</v>
      </c>
      <c r="I25" t="str">
        <v>bayesplot</v>
      </c>
      <c r="J25" t="str">
        <v>D:/R/R-4.5.2/library</v>
      </c>
      <c r="K25" t="str">
        <v>Plotting for Bayesian Models</v>
      </c>
    </row>
    <row r="26" spans="2:11" x14ac:dyDescent="0.3">
      <c r="D26" t="str">
        <v>magrittr</v>
      </c>
      <c r="I26" t="str">
        <v>bayestestR</v>
      </c>
      <c r="J26" t="str">
        <v>D:/R/R-4.5.2/library</v>
      </c>
      <c r="K26" t="str">
        <v>Understand and Describe Bayesian Models and Posterior
Distributions</v>
      </c>
    </row>
    <row r="27" spans="2:11" x14ac:dyDescent="0.3">
      <c r="D27" t="str">
        <v>grid</v>
      </c>
      <c r="I27" t="str">
        <v>bbotk</v>
      </c>
      <c r="J27" t="str">
        <v>D:/R/R-4.5.2/library</v>
      </c>
      <c r="K27" t="str">
        <v>Black-Box Optimization Toolkit</v>
      </c>
    </row>
    <row r="28" spans="2:11" x14ac:dyDescent="0.3">
      <c r="D28" t="str">
        <v>timechange</v>
      </c>
      <c r="I28" t="str">
        <v>beeswarm</v>
      </c>
      <c r="J28" t="str">
        <v>D:/R/R-4.5.2/library</v>
      </c>
      <c r="K28" t="str">
        <v>The Bee Swarm Plot, an Alternative to Stripchart</v>
      </c>
    </row>
    <row r="29" spans="2:11" x14ac:dyDescent="0.3">
      <c r="D29" t="str">
        <v>RColorBrewer</v>
      </c>
      <c r="I29" t="str">
        <v>bench</v>
      </c>
      <c r="J29" t="str">
        <v>D:/R/R-4.5.2/library</v>
      </c>
      <c r="K29" t="str">
        <v>High Precision Timing of R Expressions</v>
      </c>
    </row>
    <row r="30" spans="2:11" x14ac:dyDescent="0.3">
      <c r="D30" t="str">
        <v>grDevices</v>
      </c>
      <c r="I30" t="str">
        <v>BH</v>
      </c>
      <c r="J30" t="str">
        <v>D:/R/R-4.5.2/library</v>
      </c>
      <c r="K30" t="str">
        <v>Boost C++ Header Files</v>
      </c>
    </row>
    <row r="31" spans="2:11" x14ac:dyDescent="0.3">
      <c r="D31" t="str">
        <v>jsonlite</v>
      </c>
      <c r="I31" t="str">
        <v>BiasedUrn</v>
      </c>
      <c r="J31" t="str">
        <v>D:/R/R-4.5.2/library</v>
      </c>
      <c r="K31" t="str">
        <v>Biased Urn Model Distributions</v>
      </c>
    </row>
    <row r="32" spans="2:11" x14ac:dyDescent="0.3">
      <c r="D32" t="str">
        <v>Matrix</v>
      </c>
      <c r="I32" t="str">
        <v>bit</v>
      </c>
      <c r="J32" t="str">
        <v>D:/R/R-4.5.2/library</v>
      </c>
      <c r="K32" t="str">
        <v>Classes and Methods for Fast Memory-Efficient Boolean Selections</v>
      </c>
    </row>
    <row r="33" spans="4:11" x14ac:dyDescent="0.3">
      <c r="D33" t="str">
        <v>tidyverse</v>
      </c>
      <c r="I33" t="str">
        <v>bit64</v>
      </c>
      <c r="J33" t="str">
        <v>D:/R/R-4.5.2/library</v>
      </c>
      <c r="K33" t="str">
        <v>A S3 Class for Vectors of 64bit Integers</v>
      </c>
    </row>
    <row r="34" spans="4:11" x14ac:dyDescent="0.3">
      <c r="D34" t="str">
        <v>ggthemes</v>
      </c>
      <c r="I34" t="str">
        <v>bitops</v>
      </c>
      <c r="J34" t="str">
        <v>D:/R/R-4.5.2/library</v>
      </c>
      <c r="K34" t="str">
        <v>Bitwise Operations</v>
      </c>
    </row>
    <row r="35" spans="4:11" x14ac:dyDescent="0.3">
      <c r="D35" t="str">
        <v>nnet</v>
      </c>
      <c r="I35" t="str">
        <v>BlandAltmanLeh</v>
      </c>
      <c r="J35" t="str">
        <v>D:/R/R-4.5.2/library</v>
      </c>
      <c r="K35" t="str">
        <v>Plots (Slightly Extended) Bland-Altman Plots</v>
      </c>
    </row>
    <row r="36" spans="4:11" x14ac:dyDescent="0.3">
      <c r="D36" t="str">
        <v>forecast</v>
      </c>
      <c r="I36" t="str">
        <v>blob</v>
      </c>
      <c r="J36" t="str">
        <v>D:/R/R-4.5.2/library</v>
      </c>
      <c r="K36" t="str">
        <v>A Simple S3 Class for Representing Vectors of Binary Data
('BLOBS')</v>
      </c>
    </row>
    <row r="37" spans="4:11" x14ac:dyDescent="0.3">
      <c r="D37" t="str">
        <v>purrr</v>
      </c>
      <c r="I37" t="str">
        <v>BMA</v>
      </c>
      <c r="J37" t="str">
        <v>D:/R/R-4.5.2/library</v>
      </c>
      <c r="K37" t="str">
        <v>Bayesian Model Averaging</v>
      </c>
    </row>
    <row r="38" spans="4:11" x14ac:dyDescent="0.3">
      <c r="D38" t="str">
        <v>scales</v>
      </c>
      <c r="I38" t="str">
        <v>boot</v>
      </c>
      <c r="J38" t="str">
        <v>D:/R/R-4.5.2/library</v>
      </c>
      <c r="K38" t="str">
        <v>Bootstrap Functions</v>
      </c>
    </row>
    <row r="39" spans="4:11" x14ac:dyDescent="0.3">
      <c r="D39" t="str">
        <v>cli</v>
      </c>
      <c r="I39" t="str">
        <v>brew</v>
      </c>
      <c r="J39" t="str">
        <v>D:/R/R-4.5.2/library</v>
      </c>
      <c r="K39" t="str">
        <v>Templating Framework for Report Generation</v>
      </c>
    </row>
    <row r="40" spans="4:11" x14ac:dyDescent="0.3">
      <c r="D40" t="str">
        <v>rlang</v>
      </c>
      <c r="I40" t="str">
        <v>bridgesampling</v>
      </c>
      <c r="J40" t="str">
        <v>D:/R/R-4.5.2/library</v>
      </c>
      <c r="K40" t="str">
        <v>Bridge Sampling for Marginal Likelihoods and Bayes Factors</v>
      </c>
    </row>
    <row r="41" spans="4:11" x14ac:dyDescent="0.3">
      <c r="D41" t="str">
        <v>withr</v>
      </c>
      <c r="I41" t="str">
        <v>brio</v>
      </c>
      <c r="J41" t="str">
        <v>D:/R/R-4.5.2/library</v>
      </c>
      <c r="K41" t="str">
        <v>Basic R Input Output</v>
      </c>
    </row>
    <row r="42" spans="4:11" x14ac:dyDescent="0.3">
      <c r="D42" t="str">
        <v>utils</v>
      </c>
      <c r="I42" t="str">
        <v>brms</v>
      </c>
      <c r="J42" t="str">
        <v>D:/R/R-4.5.2/library</v>
      </c>
      <c r="K42" t="str">
        <v>Bayesian Regression Models using 'Stan'</v>
      </c>
    </row>
    <row r="43" spans="4:11" x14ac:dyDescent="0.3">
      <c r="D43" t="str">
        <v>stats</v>
      </c>
      <c r="I43" t="str">
        <v>Brobdingnag</v>
      </c>
      <c r="J43" t="str">
        <v>D:/R/R-4.5.2/library</v>
      </c>
      <c r="K43" t="str">
        <v>Very Large Numbers in R</v>
      </c>
    </row>
    <row r="44" spans="4:11" x14ac:dyDescent="0.3">
      <c r="D44" t="str">
        <v>tools</v>
      </c>
      <c r="I44" t="str">
        <v>broom</v>
      </c>
      <c r="J44" t="str">
        <v>D:/R/R-4.5.2/library</v>
      </c>
      <c r="K44" t="str">
        <v>Convert Statistical Objects into Tidy Tibbles</v>
      </c>
    </row>
    <row r="45" spans="4:11" x14ac:dyDescent="0.3">
      <c r="D45" t="str">
        <v>base</v>
      </c>
      <c r="I45" t="str">
        <v>broom.helpers</v>
      </c>
      <c r="J45" t="str">
        <v>D:/R/R-4.5.2/library</v>
      </c>
      <c r="K45" t="str">
        <v>Helpers for Model Coefficients Tibbles</v>
      </c>
    </row>
    <row r="46" spans="4:11" x14ac:dyDescent="0.3">
      <c r="D46" t="str">
        <v>parallel</v>
      </c>
      <c r="I46" t="str">
        <v>broom.mixed</v>
      </c>
      <c r="J46" t="str">
        <v>D:/R/R-4.5.2/library</v>
      </c>
      <c r="K46" t="str">
        <v>Tidying Methods for Mixed Models</v>
      </c>
    </row>
    <row r="47" spans="4:11" x14ac:dyDescent="0.3">
      <c r="D47" t="str">
        <v>tzdb</v>
      </c>
      <c r="I47" t="str">
        <v>bslib</v>
      </c>
      <c r="J47" t="str">
        <v>D:/R/R-4.5.2/library</v>
      </c>
      <c r="K47" t="str">
        <v>Custom 'Bootstrap' 'Sass' Themes for 'shiny' and 'rmarkdown'</v>
      </c>
    </row>
    <row r="48" spans="4:11" x14ac:dyDescent="0.3">
      <c r="D48" t="str">
        <v>dplyr</v>
      </c>
      <c r="I48" t="str">
        <v>C50</v>
      </c>
      <c r="J48" t="str">
        <v>D:/R/R-4.5.2/library</v>
      </c>
      <c r="K48" t="str">
        <v>C5.0 Decision Trees and Rule-Based Models</v>
      </c>
    </row>
    <row r="49" spans="4:11" x14ac:dyDescent="0.3">
      <c r="D49" t="str">
        <v>colorspace</v>
      </c>
      <c r="I49" t="str">
        <v>ca</v>
      </c>
      <c r="J49" t="str">
        <v>D:/R/R-4.5.2/library</v>
      </c>
      <c r="K49" t="str">
        <v>Simple, Multiple and Joint Correspondence Analysis</v>
      </c>
    </row>
    <row r="50" spans="4:11" x14ac:dyDescent="0.3">
      <c r="D50" t="str">
        <v>ggplot2</v>
      </c>
      <c r="I50" t="str">
        <v>cachem</v>
      </c>
      <c r="J50" t="str">
        <v>D:/R/R-4.5.2/library</v>
      </c>
      <c r="K50" t="str">
        <v>Cache R Objects with Automatic Pruning</v>
      </c>
    </row>
    <row r="51" spans="4:11" x14ac:dyDescent="0.3">
      <c r="D51" t="str">
        <v>forcats</v>
      </c>
      <c r="I51" t="str">
        <v>callr</v>
      </c>
      <c r="J51" t="str">
        <v>D:/R/R-4.5.2/library</v>
      </c>
      <c r="K51" t="str">
        <v>Call R from R</v>
      </c>
    </row>
    <row r="52" spans="4:11" x14ac:dyDescent="0.3">
      <c r="D52" t="str">
        <v>reticulate</v>
      </c>
      <c r="I52" t="str">
        <v>car</v>
      </c>
      <c r="J52" t="str">
        <v>D:/R/R-4.5.2/library</v>
      </c>
      <c r="K52" t="str">
        <v>Companion to Applied Regression</v>
      </c>
    </row>
    <row r="53" spans="4:11" x14ac:dyDescent="0.3">
      <c r="D53" t="str">
        <v>curl</v>
      </c>
      <c r="I53" t="str">
        <v>carData</v>
      </c>
      <c r="J53" t="str">
        <v>D:/R/R-4.5.2/library</v>
      </c>
      <c r="K53" t="str">
        <v>Companion to Applied Regression Data Sets</v>
      </c>
    </row>
    <row r="54" spans="4:11" x14ac:dyDescent="0.3">
      <c r="D54" t="str">
        <v>png</v>
      </c>
      <c r="I54" t="str">
        <v>cards</v>
      </c>
      <c r="J54" t="str">
        <v>D:/R/R-4.5.2/library</v>
      </c>
      <c r="K54" t="str">
        <v>Analysis Results Data</v>
      </c>
    </row>
    <row r="55" spans="4:11" x14ac:dyDescent="0.3">
      <c r="D55" t="str">
        <v>vctrs</v>
      </c>
      <c r="I55" t="str">
        <v>caret</v>
      </c>
      <c r="J55" t="str">
        <v>D:/R/R-4.5.2/library</v>
      </c>
      <c r="K55" t="str">
        <v>Classification and Regression Training</v>
      </c>
    </row>
    <row r="56" spans="4:11" x14ac:dyDescent="0.3">
      <c r="D56" t="str">
        <v>R6</v>
      </c>
      <c r="I56" t="str">
        <v>caTools</v>
      </c>
      <c r="J56" t="str">
        <v>D:/R/R-4.5.2/library</v>
      </c>
      <c r="K56" t="str">
        <v>Tools: Moving Window Statistics, GIF, Base64, ROC AUC, etc</v>
      </c>
    </row>
    <row r="57" spans="4:11" x14ac:dyDescent="0.3">
      <c r="D57" t="str">
        <v>zoo</v>
      </c>
      <c r="I57" t="str">
        <v>CDM</v>
      </c>
      <c r="J57" t="str">
        <v>D:/R/R-4.5.2/library</v>
      </c>
      <c r="K57" t="str">
        <v>Cognitive Diagnosis Modeling</v>
      </c>
    </row>
    <row r="58" spans="4:11" x14ac:dyDescent="0.3">
      <c r="D58" t="str">
        <v>lifecycle</v>
      </c>
      <c r="I58" t="str">
        <v>cellranger</v>
      </c>
      <c r="J58" t="str">
        <v>D:/R/R-4.5.2/library</v>
      </c>
      <c r="K58" t="str">
        <v>Translate Spreadsheet Cell Ranges to Rows and Columns</v>
      </c>
    </row>
    <row r="59" spans="4:11" x14ac:dyDescent="0.3">
      <c r="D59" t="str">
        <v>lubridate</v>
      </c>
      <c r="I59" t="str">
        <v>checkmate</v>
      </c>
      <c r="J59" t="str">
        <v>D:/R/R-4.5.2/library</v>
      </c>
      <c r="K59" t="str">
        <v>Fast and Versatile Argument Checks</v>
      </c>
    </row>
    <row r="60" spans="4:11" x14ac:dyDescent="0.3">
      <c r="D60" t="str">
        <v>tseries</v>
      </c>
      <c r="I60" t="str">
        <v>choroplethr</v>
      </c>
      <c r="J60" t="str">
        <v>D:/R/R-4.5.2/library</v>
      </c>
      <c r="K60" t="str">
        <v>Create Color-Coded Choropleth Maps in R</v>
      </c>
    </row>
    <row r="61" spans="4:11" x14ac:dyDescent="0.3">
      <c r="D61" t="str">
        <v>stringr</v>
      </c>
      <c r="I61" t="str">
        <v>choroplethrMaps</v>
      </c>
      <c r="J61" t="str">
        <v>D:/R/R-4.5.2/library</v>
      </c>
      <c r="K61" t="str">
        <v>Contains Maps Used by the 'choroplethr' Package</v>
      </c>
    </row>
    <row r="62" spans="4:11" x14ac:dyDescent="0.3">
      <c r="D62" t="str">
        <v>pkgconfig</v>
      </c>
      <c r="I62" t="str">
        <v>Ckmeans.1d.dp</v>
      </c>
      <c r="J62" t="str">
        <v>D:/R/R-4.5.2/library</v>
      </c>
      <c r="K62" t="str">
        <v>Optimal, Fast, and Reproducible Univariate Clustering</v>
      </c>
    </row>
    <row r="63" spans="4:11" x14ac:dyDescent="0.3">
      <c r="D63" t="str">
        <v>urca</v>
      </c>
      <c r="I63" t="str">
        <v>class</v>
      </c>
      <c r="J63" t="str">
        <v>D:/R/R-4.5.2/library</v>
      </c>
      <c r="K63" t="str">
        <v>Functions for Classification</v>
      </c>
    </row>
    <row r="64" spans="4:11" x14ac:dyDescent="0.3">
      <c r="D64" t="str">
        <v>pillar</v>
      </c>
      <c r="I64" t="str">
        <v>classInt</v>
      </c>
      <c r="J64" t="str">
        <v>D:/R/R-4.5.2/library</v>
      </c>
      <c r="K64" t="str">
        <v>Choose Univariate Class Intervals</v>
      </c>
    </row>
    <row r="65" spans="4:11" x14ac:dyDescent="0.3">
      <c r="D65" t="str">
        <v>gtable</v>
      </c>
      <c r="I65" t="str">
        <v>cli</v>
      </c>
      <c r="J65" t="str">
        <v>D:/R/R-4.5.2/library</v>
      </c>
      <c r="K65" t="str">
        <v>Helpers for Developing Command Line Interfaces</v>
      </c>
    </row>
    <row r="66" spans="4:11" x14ac:dyDescent="0.3">
      <c r="D66" t="str">
        <v>glue</v>
      </c>
      <c r="I66" t="str">
        <v>clipr</v>
      </c>
      <c r="J66" t="str">
        <v>D:/R/R-4.5.2/library</v>
      </c>
      <c r="K66" t="str">
        <v>Read and Write from the System Clipboard</v>
      </c>
    </row>
    <row r="67" spans="4:11" x14ac:dyDescent="0.3">
      <c r="D67" t="str">
        <v>quantmod</v>
      </c>
      <c r="I67" t="str">
        <v>clock</v>
      </c>
      <c r="J67" t="str">
        <v>D:/R/R-4.5.2/library</v>
      </c>
      <c r="K67" t="str">
        <v>Date-Time Types and Tools</v>
      </c>
    </row>
    <row r="68" spans="4:11" x14ac:dyDescent="0.3">
      <c r="D68" t="str">
        <v>Rcpp</v>
      </c>
      <c r="I68" t="str">
        <v>cluster</v>
      </c>
      <c r="J68" t="str">
        <v>D:/R/R-4.5.2/library</v>
      </c>
      <c r="K68" t="str">
        <v>"Finding Groups in Data": Cluster Analysis Extended Rousseeuw et
al.</v>
      </c>
    </row>
    <row r="69" spans="4:11" x14ac:dyDescent="0.3">
      <c r="D69" t="str">
        <v>tibble</v>
      </c>
      <c r="I69" t="str">
        <v>clusterGeneration</v>
      </c>
      <c r="J69" t="str">
        <v>D:/R/R-4.5.2/library</v>
      </c>
      <c r="K69" t="str">
        <v>Random Cluster Generation (with Specified Degree of Separation)</v>
      </c>
    </row>
    <row r="70" spans="4:11" x14ac:dyDescent="0.3">
      <c r="D70" t="str">
        <v>lmtest</v>
      </c>
      <c r="I70" t="str">
        <v>cmprsk</v>
      </c>
      <c r="J70" t="str">
        <v>D:/R/R-4.5.2/library</v>
      </c>
      <c r="K70" t="str">
        <v>Subdistribution Analysis of Competing Risks</v>
      </c>
    </row>
    <row r="71" spans="4:11" x14ac:dyDescent="0.3">
      <c r="D71" t="str">
        <v>tidyselect</v>
      </c>
      <c r="I71" t="str">
        <v>coda</v>
      </c>
      <c r="J71" t="str">
        <v>D:/R/R-4.5.2/library</v>
      </c>
      <c r="K71" t="str">
        <v>Output Analysis and Diagnostics for MCMC</v>
      </c>
    </row>
    <row r="72" spans="4:11" x14ac:dyDescent="0.3">
      <c r="D72" t="str">
        <v>farver</v>
      </c>
      <c r="I72" t="str">
        <v>codetools</v>
      </c>
      <c r="J72" t="str">
        <v>D:/R/R-4.5.2/library</v>
      </c>
      <c r="K72" t="str">
        <v>Code Analysis Tools for R</v>
      </c>
    </row>
    <row r="73" spans="4:11" x14ac:dyDescent="0.3">
      <c r="D73" t="str">
        <v>datasets</v>
      </c>
      <c r="I73" t="str">
        <v>coin</v>
      </c>
      <c r="J73" t="str">
        <v>D:/R/R-4.5.2/library</v>
      </c>
      <c r="K73" t="str">
        <v>Conditional Inference Procedures in a Permutation Test Framework</v>
      </c>
    </row>
    <row r="74" spans="4:11" x14ac:dyDescent="0.3">
      <c r="D74" t="str">
        <v>nlme</v>
      </c>
      <c r="I74" t="str">
        <v>collections</v>
      </c>
      <c r="J74" t="str">
        <v>D:/R/R-4.5.2/library</v>
      </c>
      <c r="K74" t="str">
        <v>High Performance Container Data Types</v>
      </c>
    </row>
    <row r="75" spans="4:11" x14ac:dyDescent="0.3">
      <c r="D75" t="str">
        <v>xts</v>
      </c>
      <c r="I75" t="str">
        <v>colorspace</v>
      </c>
      <c r="J75" t="str">
        <v>D:/R/R-4.5.2/library</v>
      </c>
      <c r="K75" t="str">
        <v>A Toolbox for Manipulating and Assessing Colors and Palettes</v>
      </c>
    </row>
    <row r="76" spans="4:11" x14ac:dyDescent="0.3">
      <c r="D76" t="str">
        <v>timeDate</v>
      </c>
      <c r="I76" t="str">
        <v>colourpicker</v>
      </c>
      <c r="J76" t="str">
        <v>D:/R/R-4.5.2/library</v>
      </c>
      <c r="K76" t="str">
        <v>A Colour Picker Tool for Shiny and for Selecting Colours in
Plots</v>
      </c>
    </row>
    <row r="77" spans="4:11" x14ac:dyDescent="0.3">
      <c r="D77" t="str">
        <v>readr</v>
      </c>
      <c r="I77" t="str">
        <v>combinat</v>
      </c>
      <c r="J77" t="str">
        <v>D:/R/R-4.5.2/library</v>
      </c>
      <c r="K77" t="str">
        <v>combinatorics utilities</v>
      </c>
    </row>
    <row r="78" spans="4:11" x14ac:dyDescent="0.3">
      <c r="D78" t="str">
        <v>fracdiff</v>
      </c>
      <c r="I78" t="str">
        <v>commonmark</v>
      </c>
      <c r="J78" t="str">
        <v>D:/R/R-4.5.2/library</v>
      </c>
      <c r="K78" t="str">
        <v>High Performance CommonMark and Github Markdown Rendering in R</v>
      </c>
    </row>
    <row r="79" spans="4:11" x14ac:dyDescent="0.3">
      <c r="D79" t="str">
        <v>compiler</v>
      </c>
      <c r="I79" t="str">
        <v>compiler</v>
      </c>
      <c r="J79" t="str">
        <v>D:/R/R-4.5.2/library</v>
      </c>
      <c r="K79" t="str">
        <v>The R Compiler Package</v>
      </c>
    </row>
    <row r="80" spans="4:11" x14ac:dyDescent="0.3">
      <c r="D80" t="str">
        <v>S7</v>
      </c>
      <c r="I80" t="str">
        <v>conf.design</v>
      </c>
      <c r="J80" t="str">
        <v>D:/R/R-4.5.2/library</v>
      </c>
      <c r="K80" t="str">
        <v>Construction of factorial designs</v>
      </c>
    </row>
    <row r="81" spans="4:11" x14ac:dyDescent="0.3">
      <c r="D81" t="str">
        <v>quadprog</v>
      </c>
      <c r="I81" t="str">
        <v>conflicted</v>
      </c>
      <c r="J81" t="str">
        <v>D:/R/R-4.5.2/library</v>
      </c>
      <c r="K81" t="str">
        <v>An Alternative Conflict Resolution Strategy</v>
      </c>
    </row>
    <row r="82" spans="4:11" x14ac:dyDescent="0.3">
      <c r="D82" t="str">
        <v>TTR</v>
      </c>
      <c r="I82" t="str">
        <v>corrplot</v>
      </c>
      <c r="J82" t="str">
        <v>D:/R/R-4.5.2/library</v>
      </c>
      <c r="K82" t="str">
        <v>Visualization of a Correlation Matrix</v>
      </c>
    </row>
    <row r="83" spans="4:11" x14ac:dyDescent="0.3">
      <c r="I83" t="str">
        <v>cowplot</v>
      </c>
      <c r="J83" t="str">
        <v>D:/R/R-4.5.2/library</v>
      </c>
      <c r="K83" t="str">
        <v>Streamlined Plot Theme and Plot Annotations for 'ggplot2'</v>
      </c>
    </row>
    <row r="84" spans="4:11" x14ac:dyDescent="0.3">
      <c r="I84" t="str">
        <v>cpp11</v>
      </c>
      <c r="J84" t="str">
        <v>D:/R/R-4.5.2/library</v>
      </c>
      <c r="K84" t="str">
        <v>A C++11 Interface for R's C Interface</v>
      </c>
    </row>
    <row r="85" spans="4:11" x14ac:dyDescent="0.3">
      <c r="I85" t="str">
        <v>crayon</v>
      </c>
      <c r="J85" t="str">
        <v>D:/R/R-4.5.2/library</v>
      </c>
      <c r="K85" t="str">
        <v>Colored Terminal Output</v>
      </c>
    </row>
    <row r="86" spans="4:11" x14ac:dyDescent="0.3">
      <c r="I86" t="str">
        <v>credentials</v>
      </c>
      <c r="J86" t="str">
        <v>D:/R/R-4.5.2/library</v>
      </c>
      <c r="K86" t="str">
        <v>Tools for Managing SSH and Git Credentials</v>
      </c>
    </row>
    <row r="87" spans="4:11" x14ac:dyDescent="0.3">
      <c r="I87" t="str">
        <v>crosstalk</v>
      </c>
      <c r="J87" t="str">
        <v>D:/R/R-4.5.2/library</v>
      </c>
      <c r="K87" t="str">
        <v>Inter-Widget Interactivity for HTML Widgets</v>
      </c>
    </row>
    <row r="88" spans="4:11" x14ac:dyDescent="0.3">
      <c r="I88" t="str">
        <v>csvy</v>
      </c>
      <c r="J88" t="str">
        <v>D:/R/R-4.5.2/library</v>
      </c>
      <c r="K88" t="str">
        <v>Import and Export CSV Data with a YAML Metadata Header</v>
      </c>
    </row>
    <row r="89" spans="4:11" x14ac:dyDescent="0.3">
      <c r="I89" t="str">
        <v>cubature</v>
      </c>
      <c r="J89" t="str">
        <v>D:/R/R-4.5.2/library</v>
      </c>
      <c r="K89" t="str">
        <v>Adaptive Multivariate Integration over Hypercubes</v>
      </c>
    </row>
    <row r="90" spans="4:11" x14ac:dyDescent="0.3">
      <c r="I90" t="str">
        <v>Cubist</v>
      </c>
      <c r="J90" t="str">
        <v>D:/R/R-4.5.2/library</v>
      </c>
      <c r="K90" t="str">
        <v>Rule- And Instance-Based Regression Modeling</v>
      </c>
    </row>
    <row r="91" spans="4:11" x14ac:dyDescent="0.3">
      <c r="I91" t="str">
        <v>CUFF</v>
      </c>
      <c r="J91" t="str">
        <v>D:/R/R-4.5.2/library</v>
      </c>
      <c r="K91" t="str">
        <v>Charles's Utility Function using Formula</v>
      </c>
    </row>
    <row r="92" spans="4:11" x14ac:dyDescent="0.3">
      <c r="I92" t="str">
        <v>curl</v>
      </c>
      <c r="J92" t="str">
        <v>D:/R/R-4.5.2/library</v>
      </c>
      <c r="K92" t="str">
        <v>A Modern and Flexible Web Client for R</v>
      </c>
    </row>
    <row r="93" spans="4:11" x14ac:dyDescent="0.3">
      <c r="I93" t="str">
        <v>cyclocomp</v>
      </c>
      <c r="J93" t="str">
        <v>D:/R/R-4.5.2/library</v>
      </c>
      <c r="K93" t="str">
        <v>Cyclomatic Complexity of R Code</v>
      </c>
    </row>
    <row r="94" spans="4:11" x14ac:dyDescent="0.3">
      <c r="I94" t="str">
        <v>data.table</v>
      </c>
      <c r="J94" t="str">
        <v>D:/R/R-4.5.2/library</v>
      </c>
      <c r="K94" t="str">
        <v>Extension of `data.frame`</v>
      </c>
    </row>
    <row r="95" spans="4:11" x14ac:dyDescent="0.3">
      <c r="I95" t="str">
        <v>datarium</v>
      </c>
      <c r="J95" t="str">
        <v>D:/R/R-4.5.2/library</v>
      </c>
      <c r="K95" t="str">
        <v>Data Bank for Statistical Analysis and Visualization</v>
      </c>
    </row>
    <row r="96" spans="4:11" x14ac:dyDescent="0.3">
      <c r="I96" t="str">
        <v>datasets</v>
      </c>
      <c r="J96" t="str">
        <v>D:/R/R-4.5.2/library</v>
      </c>
      <c r="K96" t="str">
        <v>The R Datasets Package</v>
      </c>
    </row>
    <row r="97" spans="9:11" x14ac:dyDescent="0.3">
      <c r="I97" t="str">
        <v>datawizard</v>
      </c>
      <c r="J97" t="str">
        <v>D:/R/R-4.5.2/library</v>
      </c>
      <c r="K97" t="str">
        <v>Easy Data Wrangling and Statistical Transformations</v>
      </c>
    </row>
    <row r="98" spans="9:11" x14ac:dyDescent="0.3">
      <c r="I98" t="str">
        <v>DBI</v>
      </c>
      <c r="J98" t="str">
        <v>D:/R/R-4.5.2/library</v>
      </c>
      <c r="K98" t="str">
        <v>R Database Interface</v>
      </c>
    </row>
    <row r="99" spans="9:11" x14ac:dyDescent="0.3">
      <c r="I99" t="str">
        <v>dbplyr</v>
      </c>
      <c r="J99" t="str">
        <v>D:/R/R-4.5.2/library</v>
      </c>
      <c r="K99" t="str">
        <v>A 'dplyr' Back End for Databases</v>
      </c>
    </row>
    <row r="100" spans="9:11" x14ac:dyDescent="0.3">
      <c r="I100" t="str">
        <v>deepnet</v>
      </c>
      <c r="J100" t="str">
        <v>D:/R/R-4.5.2/library</v>
      </c>
      <c r="K100" t="str">
        <v>Deep Learning Toolkit in R</v>
      </c>
    </row>
    <row r="101" spans="9:11" x14ac:dyDescent="0.3">
      <c r="I101" t="str">
        <v>deldir</v>
      </c>
      <c r="J101" t="str">
        <v>D:/R/R-4.5.2/library</v>
      </c>
      <c r="K101" t="str">
        <v>Delaunay Triangulation and Dirichlet (Voronoi) Tessellation</v>
      </c>
    </row>
    <row r="102" spans="9:11" x14ac:dyDescent="0.3">
      <c r="I102" t="str">
        <v>dendextend</v>
      </c>
      <c r="J102" t="str">
        <v>D:/R/R-4.5.2/library</v>
      </c>
      <c r="K102" t="str">
        <v>Extending 'dendrogram' Functionality in R</v>
      </c>
    </row>
    <row r="103" spans="9:11" x14ac:dyDescent="0.3">
      <c r="I103" t="str">
        <v>DEoptimR</v>
      </c>
      <c r="J103" t="str">
        <v>D:/R/R-4.5.2/library</v>
      </c>
      <c r="K103" t="str">
        <v>Differential Evolution Optimization in Pure R</v>
      </c>
    </row>
    <row r="104" spans="9:11" x14ac:dyDescent="0.3">
      <c r="I104" t="str">
        <v>Deriv</v>
      </c>
      <c r="J104" t="str">
        <v>D:/R/R-4.5.2/library</v>
      </c>
      <c r="K104" t="str">
        <v>Symbolic Differentiation</v>
      </c>
    </row>
    <row r="105" spans="9:11" x14ac:dyDescent="0.3">
      <c r="I105" t="str">
        <v>desc</v>
      </c>
      <c r="J105" t="str">
        <v>D:/R/R-4.5.2/library</v>
      </c>
      <c r="K105" t="str">
        <v>Manipulate DESCRIPTION Files</v>
      </c>
    </row>
    <row r="106" spans="9:11" x14ac:dyDescent="0.3">
      <c r="I106" t="str">
        <v>DescTools</v>
      </c>
      <c r="J106" t="str">
        <v>D:/R/R-4.5.2/library</v>
      </c>
      <c r="K106" t="str">
        <v>Tools for Descriptive Statistics</v>
      </c>
    </row>
    <row r="107" spans="9:11" x14ac:dyDescent="0.3">
      <c r="I107" t="str">
        <v>deSolve</v>
      </c>
      <c r="J107" t="str">
        <v>D:/R/R-4.5.2/library</v>
      </c>
      <c r="K107" t="str">
        <v>Solvers for Initial Value Problems of Differential Equations
('ODE', 'DAE', 'DDE')</v>
      </c>
    </row>
    <row r="108" spans="9:11" x14ac:dyDescent="0.3">
      <c r="I108" t="str">
        <v>devtools</v>
      </c>
      <c r="J108" t="str">
        <v>D:/R/R-4.5.2/library</v>
      </c>
      <c r="K108" t="str">
        <v>Tools to Make Developing R Packages Easier</v>
      </c>
    </row>
    <row r="109" spans="9:11" x14ac:dyDescent="0.3">
      <c r="I109" t="str">
        <v>dfidx</v>
      </c>
      <c r="J109" t="str">
        <v>D:/R/R-4.5.2/library</v>
      </c>
      <c r="K109" t="str">
        <v>Indexed Data Frames</v>
      </c>
    </row>
    <row r="110" spans="9:11" x14ac:dyDescent="0.3">
      <c r="I110" t="str">
        <v>diagram</v>
      </c>
      <c r="J110" t="str">
        <v>D:/R/R-4.5.2/library</v>
      </c>
      <c r="K110" t="str">
        <v>Functions for Visualising Simple Graphs (Networks), Plotting
Flow Diagrams</v>
      </c>
    </row>
    <row r="111" spans="9:11" x14ac:dyDescent="0.3">
      <c r="I111" t="str">
        <v>dials</v>
      </c>
      <c r="J111" t="str">
        <v>D:/R/R-4.5.2/library</v>
      </c>
      <c r="K111" t="str">
        <v>Tools for Creating Tuning Parameter Values</v>
      </c>
    </row>
    <row r="112" spans="9:11" x14ac:dyDescent="0.3">
      <c r="I112" t="str">
        <v>DiceDesign</v>
      </c>
      <c r="J112" t="str">
        <v>D:/R/R-4.5.2/library</v>
      </c>
      <c r="K112" t="str">
        <v>Designs of Computer Experiments</v>
      </c>
    </row>
    <row r="113" spans="9:11" x14ac:dyDescent="0.3">
      <c r="I113" t="str">
        <v>diffobj</v>
      </c>
      <c r="J113" t="str">
        <v>D:/R/R-4.5.2/library</v>
      </c>
      <c r="K113" t="str">
        <v>Diffs for R Objects</v>
      </c>
    </row>
    <row r="114" spans="9:11" x14ac:dyDescent="0.3">
      <c r="I114" t="str">
        <v>digest</v>
      </c>
      <c r="J114" t="str">
        <v>D:/R/R-4.5.2/library</v>
      </c>
      <c r="K114" t="str">
        <v>Create Compact Hash Digests of R Objects</v>
      </c>
    </row>
    <row r="115" spans="9:11" x14ac:dyDescent="0.3">
      <c r="I115" t="str">
        <v>distr</v>
      </c>
      <c r="J115" t="str">
        <v>D:/R/R-4.5.2/library</v>
      </c>
      <c r="K115" t="str">
        <v>Object Oriented Implementation of Distributions</v>
      </c>
    </row>
    <row r="116" spans="9:11" x14ac:dyDescent="0.3">
      <c r="I116" t="str">
        <v>distributional</v>
      </c>
      <c r="J116" t="str">
        <v>D:/R/R-4.5.2/library</v>
      </c>
      <c r="K116" t="str">
        <v>Vectorised Probability Distributions</v>
      </c>
    </row>
    <row r="117" spans="9:11" x14ac:dyDescent="0.3">
      <c r="I117" t="str">
        <v>doBy</v>
      </c>
      <c r="J117" t="str">
        <v>D:/R/R-4.5.2/library</v>
      </c>
      <c r="K117" t="str">
        <v>Groupwise Statistics, LSmeans, Linear Estimates, Utilities</v>
      </c>
    </row>
    <row r="118" spans="9:11" x14ac:dyDescent="0.3">
      <c r="I118" t="str">
        <v>DoE.base</v>
      </c>
      <c r="J118" t="str">
        <v>D:/R/R-4.5.2/library</v>
      </c>
      <c r="K118" t="str">
        <v>Full Factorials, Orthogonal Arrays and Base Utilities for DoE
Packages</v>
      </c>
    </row>
    <row r="119" spans="9:11" x14ac:dyDescent="0.3">
      <c r="I119" t="str">
        <v>DoE.wrapper</v>
      </c>
      <c r="J119" t="str">
        <v>D:/R/R-4.5.2/library</v>
      </c>
      <c r="K119" t="str">
        <v>Wrapper Package for Design of Experiments Functionality</v>
      </c>
    </row>
    <row r="120" spans="9:11" x14ac:dyDescent="0.3">
      <c r="I120" t="str">
        <v>doParallel</v>
      </c>
      <c r="J120" t="str">
        <v>D:/R/R-4.5.2/library</v>
      </c>
      <c r="K120" t="str">
        <v>Foreach Parallel Adaptor for the 'parallel' Package</v>
      </c>
    </row>
    <row r="121" spans="9:11" x14ac:dyDescent="0.3">
      <c r="I121" t="str">
        <v>doRNG</v>
      </c>
      <c r="J121" t="str">
        <v>D:/R/R-4.5.2/library</v>
      </c>
      <c r="K121" t="str">
        <v>Generic Reproducible Parallel Backend for 'foreach' Loops</v>
      </c>
    </row>
    <row r="122" spans="9:11" x14ac:dyDescent="0.3">
      <c r="I122" t="str">
        <v>dotCall64</v>
      </c>
      <c r="J122" t="str">
        <v>D:/R/R-4.5.2/library</v>
      </c>
      <c r="K122" t="str">
        <v>Enhanced Foreign Function Interface Supporting Long Vectors</v>
      </c>
    </row>
    <row r="123" spans="9:11" x14ac:dyDescent="0.3">
      <c r="I123" t="str">
        <v>downlit</v>
      </c>
      <c r="J123" t="str">
        <v>D:/R/R-4.5.2/library</v>
      </c>
      <c r="K123" t="str">
        <v>Syntax Highlighting and Automatic Linking</v>
      </c>
    </row>
    <row r="124" spans="9:11" x14ac:dyDescent="0.3">
      <c r="I124" t="str">
        <v>dplyr</v>
      </c>
      <c r="J124" t="str">
        <v>D:/R/R-4.5.2/library</v>
      </c>
      <c r="K124" t="str">
        <v>A Grammar of Data Manipulation</v>
      </c>
    </row>
    <row r="125" spans="9:11" x14ac:dyDescent="0.3">
      <c r="I125" t="str">
        <v>DT</v>
      </c>
      <c r="J125" t="str">
        <v>D:/R/R-4.5.2/library</v>
      </c>
      <c r="K125" t="str">
        <v>A Wrapper of the JavaScript Library 'DataTables'</v>
      </c>
    </row>
    <row r="126" spans="9:11" x14ac:dyDescent="0.3">
      <c r="I126" t="str">
        <v>dtplyr</v>
      </c>
      <c r="J126" t="str">
        <v>D:/R/R-4.5.2/library</v>
      </c>
      <c r="K126" t="str">
        <v>Data Table Back-End for 'dplyr'</v>
      </c>
    </row>
    <row r="127" spans="9:11" x14ac:dyDescent="0.3">
      <c r="I127" t="str">
        <v>dunn.test</v>
      </c>
      <c r="J127" t="str">
        <v>D:/R/R-4.5.2/library</v>
      </c>
      <c r="K127" t="str">
        <v>Dunn's Test of Multiple Comparisons Using Rank Sums</v>
      </c>
    </row>
    <row r="128" spans="9:11" x14ac:dyDescent="0.3">
      <c r="I128" t="str">
        <v>dygraphs</v>
      </c>
      <c r="J128" t="str">
        <v>D:/R/R-4.5.2/library</v>
      </c>
      <c r="K128" t="str">
        <v>Interface to 'Dygraphs' Interactive Time Series Charting Library</v>
      </c>
    </row>
    <row r="129" spans="9:11" x14ac:dyDescent="0.3">
      <c r="I129" t="str">
        <v>e1071</v>
      </c>
      <c r="J129" t="str">
        <v>D:/R/R-4.5.2/library</v>
      </c>
      <c r="K129" t="str">
        <v>Misc Functions of the Department of Statistics, Probability
Theory Group (Formerly: E1071), TU Wien</v>
      </c>
    </row>
    <row r="130" spans="9:11" x14ac:dyDescent="0.3">
      <c r="I130" t="str">
        <v>earth</v>
      </c>
      <c r="J130" t="str">
        <v>D:/R/R-4.5.2/library</v>
      </c>
      <c r="K130" t="str">
        <v>Multivariate Adaptive Regression Splines</v>
      </c>
    </row>
    <row r="131" spans="9:11" x14ac:dyDescent="0.3">
      <c r="I131" t="str">
        <v>Ecdat</v>
      </c>
      <c r="J131" t="str">
        <v>D:/R/R-4.5.2/library</v>
      </c>
      <c r="K131" t="str">
        <v>Data Sets for Econometrics</v>
      </c>
    </row>
    <row r="132" spans="9:11" x14ac:dyDescent="0.3">
      <c r="I132" t="str">
        <v>Ecfun</v>
      </c>
      <c r="J132" t="str">
        <v>D:/R/R-4.5.2/library</v>
      </c>
      <c r="K132" t="str">
        <v>Functions for 'Ecdat'</v>
      </c>
    </row>
    <row r="133" spans="9:11" x14ac:dyDescent="0.3">
      <c r="I133" t="str">
        <v>effects</v>
      </c>
      <c r="J133" t="str">
        <v>D:/R/R-4.5.2/library</v>
      </c>
      <c r="K133" t="str">
        <v>Effect Displays for Linear, Generalized Linear, and Other Models</v>
      </c>
    </row>
    <row r="134" spans="9:11" x14ac:dyDescent="0.3">
      <c r="I134" t="str">
        <v>effectsize</v>
      </c>
      <c r="J134" t="str">
        <v>D:/R/R-4.5.2/library</v>
      </c>
      <c r="K134" t="str">
        <v>Indices of Effect Size</v>
      </c>
    </row>
    <row r="135" spans="9:11" x14ac:dyDescent="0.3">
      <c r="I135" t="str">
        <v>ellipsis</v>
      </c>
      <c r="J135" t="str">
        <v>D:/R/R-4.5.2/library</v>
      </c>
      <c r="K135" t="str">
        <v>Tools for Working with ...</v>
      </c>
    </row>
    <row r="136" spans="9:11" x14ac:dyDescent="0.3">
      <c r="I136" t="str">
        <v>emmeans</v>
      </c>
      <c r="J136" t="str">
        <v>D:/R/R-4.5.2/library</v>
      </c>
      <c r="K136" t="str">
        <v>Estimated Marginal Means, aka Least-Squares Means</v>
      </c>
    </row>
    <row r="137" spans="9:11" x14ac:dyDescent="0.3">
      <c r="I137" t="str">
        <v>EMT</v>
      </c>
      <c r="J137" t="str">
        <v>D:/R/R-4.5.2/library</v>
      </c>
      <c r="K137" t="str">
        <v>Exact Multinomial Test: Goodness-of-Fit Test for Discrete
Multivariate Data</v>
      </c>
    </row>
    <row r="138" spans="9:11" x14ac:dyDescent="0.3">
      <c r="I138" t="str">
        <v>energy</v>
      </c>
      <c r="J138" t="str">
        <v>D:/R/R-4.5.2/library</v>
      </c>
      <c r="K138" t="str">
        <v>E-Statistics: Multivariate Inference via the Energy of Data</v>
      </c>
    </row>
    <row r="139" spans="9:11" x14ac:dyDescent="0.3">
      <c r="I139" t="str">
        <v>EnvStats</v>
      </c>
      <c r="J139" t="str">
        <v>D:/R/R-4.5.2/library</v>
      </c>
      <c r="K139" t="str">
        <v>Package for Environmental Statistics, Including US EPA Guidance</v>
      </c>
    </row>
    <row r="140" spans="9:11" x14ac:dyDescent="0.3">
      <c r="I140" t="str">
        <v>epiR</v>
      </c>
      <c r="J140" t="str">
        <v>D:/R/R-4.5.2/library</v>
      </c>
      <c r="K140" t="str">
        <v>Tools for the Analysis of Epidemiological Data</v>
      </c>
    </row>
    <row r="141" spans="9:11" x14ac:dyDescent="0.3">
      <c r="I141" t="str">
        <v>epitools</v>
      </c>
      <c r="J141" t="str">
        <v>D:/R/R-4.5.2/library</v>
      </c>
      <c r="K141" t="str">
        <v>Epidemiology Tools</v>
      </c>
    </row>
    <row r="142" spans="9:11" x14ac:dyDescent="0.3">
      <c r="I142" t="str">
        <v>equatiomatic</v>
      </c>
      <c r="J142" t="str">
        <v>D:/R/R-4.5.2/library</v>
      </c>
      <c r="K142" t="str">
        <v>Transform Models into 'LaTeX' Equations</v>
      </c>
    </row>
    <row r="143" spans="9:11" x14ac:dyDescent="0.3">
      <c r="I143" t="str">
        <v>eRm</v>
      </c>
      <c r="J143" t="str">
        <v>D:/R/R-4.5.2/library</v>
      </c>
      <c r="K143" t="str">
        <v>Extended Rasch Modeling</v>
      </c>
    </row>
    <row r="144" spans="9:11" x14ac:dyDescent="0.3">
      <c r="I144" t="str">
        <v>estimability</v>
      </c>
      <c r="J144" t="str">
        <v>D:/R/R-4.5.2/library</v>
      </c>
      <c r="K144" t="str">
        <v>Tools for Assessing Estimability of Linear Predictions</v>
      </c>
    </row>
    <row r="145" spans="9:11" x14ac:dyDescent="0.3">
      <c r="I145" t="str">
        <v>evaluate</v>
      </c>
      <c r="J145" t="str">
        <v>D:/R/R-4.5.2/library</v>
      </c>
      <c r="K145" t="str">
        <v>Parsing and Evaluation Tools that Provide More Details than the
Default</v>
      </c>
    </row>
    <row r="146" spans="9:11" x14ac:dyDescent="0.3">
      <c r="I146" t="str">
        <v>Exact</v>
      </c>
      <c r="J146" t="str">
        <v>D:/R/R-4.5.2/library</v>
      </c>
      <c r="K146" t="str">
        <v>Unconditional Exact Test</v>
      </c>
    </row>
    <row r="147" spans="9:11" x14ac:dyDescent="0.3">
      <c r="I147" t="str">
        <v>exactRankTests</v>
      </c>
      <c r="J147" t="str">
        <v>D:/R/R-4.5.2/library</v>
      </c>
      <c r="K147" t="str">
        <v>Exact Distributions for Rank and Permutation Tests</v>
      </c>
    </row>
    <row r="148" spans="9:11" x14ac:dyDescent="0.3">
      <c r="I148" t="str">
        <v>expm</v>
      </c>
      <c r="J148" t="str">
        <v>D:/R/R-4.5.2/library</v>
      </c>
      <c r="K148" t="str">
        <v>Matrix Exponential, Log, 'etc'</v>
      </c>
    </row>
    <row r="149" spans="9:11" x14ac:dyDescent="0.3">
      <c r="I149" t="str">
        <v>expsmooth</v>
      </c>
      <c r="J149" t="str">
        <v>D:/R/R-4.5.2/library</v>
      </c>
      <c r="K149" t="str">
        <v>Data Sets from "Forecasting with Exponential Smoothing"</v>
      </c>
    </row>
    <row r="150" spans="9:11" x14ac:dyDescent="0.3">
      <c r="I150" t="str">
        <v>fansi</v>
      </c>
      <c r="J150" t="str">
        <v>D:/R/R-4.5.2/library</v>
      </c>
      <c r="K150" t="str">
        <v>ANSI Control Sequence Aware String Functions</v>
      </c>
    </row>
    <row r="151" spans="9:11" x14ac:dyDescent="0.3">
      <c r="I151" t="str">
        <v>faraway</v>
      </c>
      <c r="J151" t="str">
        <v>D:/R/R-4.5.2/library</v>
      </c>
      <c r="K151" t="str">
        <v>Datasets and Functions for Books by Julian Faraway</v>
      </c>
    </row>
    <row r="152" spans="9:11" x14ac:dyDescent="0.3">
      <c r="I152" t="str">
        <v>farver</v>
      </c>
      <c r="J152" t="str">
        <v>D:/R/R-4.5.2/library</v>
      </c>
      <c r="K152" t="str">
        <v>High Performance Colour Space Manipulation</v>
      </c>
    </row>
    <row r="153" spans="9:11" x14ac:dyDescent="0.3">
      <c r="I153" t="str">
        <v>fastDummies</v>
      </c>
      <c r="J153" t="str">
        <v>D:/R/R-4.5.2/library</v>
      </c>
      <c r="K153" t="str">
        <v>Fast Creation of Dummy (Binary) Columns and Rows from
Categorical Variables</v>
      </c>
    </row>
    <row r="154" spans="9:11" x14ac:dyDescent="0.3">
      <c r="I154" t="str">
        <v>fastmap</v>
      </c>
      <c r="J154" t="str">
        <v>D:/R/R-4.5.2/library</v>
      </c>
      <c r="K154" t="str">
        <v>Fast Data Structures</v>
      </c>
    </row>
    <row r="155" spans="9:11" x14ac:dyDescent="0.3">
      <c r="I155" t="str">
        <v>fBasics</v>
      </c>
      <c r="J155" t="str">
        <v>D:/R/R-4.5.2/library</v>
      </c>
      <c r="K155" t="str">
        <v>Rmetrics - Markets and Basic Statistics</v>
      </c>
    </row>
    <row r="156" spans="9:11" x14ac:dyDescent="0.3">
      <c r="I156" t="str">
        <v>fda</v>
      </c>
      <c r="J156" t="str">
        <v>D:/R/R-4.5.2/library</v>
      </c>
      <c r="K156" t="str">
        <v>Functional Data Analysis</v>
      </c>
    </row>
    <row r="157" spans="9:11" x14ac:dyDescent="0.3">
      <c r="I157" t="str">
        <v>fds</v>
      </c>
      <c r="J157" t="str">
        <v>D:/R/R-4.5.2/library</v>
      </c>
      <c r="K157" t="str">
        <v>Functional Data Sets</v>
      </c>
    </row>
    <row r="158" spans="9:11" x14ac:dyDescent="0.3">
      <c r="I158" t="str">
        <v>feather</v>
      </c>
      <c r="J158" t="str">
        <v>D:/R/R-4.5.2/library</v>
      </c>
      <c r="K158" t="str">
        <v>R Bindings to the Feather 'API'</v>
      </c>
    </row>
    <row r="159" spans="9:11" x14ac:dyDescent="0.3">
      <c r="I159" t="str">
        <v>fields</v>
      </c>
      <c r="J159" t="str">
        <v>D:/R/R-4.5.2/library</v>
      </c>
      <c r="K159" t="str">
        <v>Tools for Spatial Data</v>
      </c>
    </row>
    <row r="160" spans="9:11" x14ac:dyDescent="0.3">
      <c r="I160" t="str">
        <v>FlexParamCurve</v>
      </c>
      <c r="J160" t="str">
        <v>D:/R/R-4.5.2/library</v>
      </c>
      <c r="K160" t="str">
        <v>Tools to Fit Flexible Parametric Curves</v>
      </c>
    </row>
    <row r="161" spans="9:11" x14ac:dyDescent="0.3">
      <c r="I161" t="str">
        <v>flextable</v>
      </c>
      <c r="J161" t="str">
        <v>D:/R/R-4.5.2/library</v>
      </c>
      <c r="K161" t="str">
        <v>Functions for Tabular Reporting</v>
      </c>
    </row>
    <row r="162" spans="9:11" x14ac:dyDescent="0.3">
      <c r="I162" t="str">
        <v>fma</v>
      </c>
      <c r="J162" t="str">
        <v>D:/R/R-4.5.2/library</v>
      </c>
      <c r="K162" t="str">
        <v>Data Sets from "Forecasting: Methods and Applications" by
Makridakis, Wheelwright &amp; Hyndman (1998)</v>
      </c>
    </row>
    <row r="163" spans="9:11" x14ac:dyDescent="0.3">
      <c r="I163" t="str">
        <v>FNN</v>
      </c>
      <c r="J163" t="str">
        <v>D:/R/R-4.5.2/library</v>
      </c>
      <c r="K163" t="str">
        <v>Fast Nearest Neighbor Search Algorithms and Applications</v>
      </c>
    </row>
    <row r="164" spans="9:11" x14ac:dyDescent="0.3">
      <c r="I164" t="str">
        <v>fontawesome</v>
      </c>
      <c r="J164" t="str">
        <v>D:/R/R-4.5.2/library</v>
      </c>
      <c r="K164" t="str">
        <v>Easily Work with 'Font Awesome' Icons</v>
      </c>
    </row>
    <row r="165" spans="9:11" x14ac:dyDescent="0.3">
      <c r="I165" t="str">
        <v>fontBitstreamVera</v>
      </c>
      <c r="J165" t="str">
        <v>D:/R/R-4.5.2/library</v>
      </c>
      <c r="K165" t="str">
        <v>Fonts with 'Bitstream Vera Fonts' License</v>
      </c>
    </row>
    <row r="166" spans="9:11" x14ac:dyDescent="0.3">
      <c r="I166" t="str">
        <v>fontLiberation</v>
      </c>
      <c r="J166" t="str">
        <v>D:/R/R-4.5.2/library</v>
      </c>
      <c r="K166" t="str">
        <v>Liberation Fonts</v>
      </c>
    </row>
    <row r="167" spans="9:11" x14ac:dyDescent="0.3">
      <c r="I167" t="str">
        <v>fontquiver</v>
      </c>
      <c r="J167" t="str">
        <v>D:/R/R-4.5.2/library</v>
      </c>
      <c r="K167" t="str">
        <v>Set of Installed Fonts</v>
      </c>
    </row>
    <row r="168" spans="9:11" x14ac:dyDescent="0.3">
      <c r="I168" t="str">
        <v>forcats</v>
      </c>
      <c r="J168" t="str">
        <v>D:/R/R-4.5.2/library</v>
      </c>
      <c r="K168" t="str">
        <v>Tools for Working with Categorical Variables (Factors)</v>
      </c>
    </row>
    <row r="169" spans="9:11" x14ac:dyDescent="0.3">
      <c r="I169" t="str">
        <v>foreach</v>
      </c>
      <c r="J169" t="str">
        <v>D:/R/R-4.5.2/library</v>
      </c>
      <c r="K169" t="str">
        <v>Provides Foreach Looping Construct</v>
      </c>
    </row>
    <row r="170" spans="9:11" x14ac:dyDescent="0.3">
      <c r="I170" t="str">
        <v>forecast</v>
      </c>
      <c r="J170" t="str">
        <v>D:/R/R-4.5.2/library</v>
      </c>
      <c r="K170" t="str">
        <v>Forecasting Functions for Time Series and Linear Models</v>
      </c>
    </row>
    <row r="171" spans="9:11" x14ac:dyDescent="0.3">
      <c r="I171" t="str">
        <v>foreign</v>
      </c>
      <c r="J171" t="str">
        <v>D:/R/R-4.5.2/library</v>
      </c>
      <c r="K171" t="str">
        <v>Read Data Stored by 'Minitab', 'S', 'SAS', 'SPSS', 'Stata',
'Systat', 'Weka', 'dBase', ...</v>
      </c>
    </row>
    <row r="172" spans="9:11" x14ac:dyDescent="0.3">
      <c r="I172" t="str">
        <v>formatR</v>
      </c>
      <c r="J172" t="str">
        <v>D:/R/R-4.5.2/library</v>
      </c>
      <c r="K172" t="str">
        <v>Format R Code Automatically</v>
      </c>
    </row>
    <row r="173" spans="9:11" x14ac:dyDescent="0.3">
      <c r="I173" t="str">
        <v>formattable</v>
      </c>
      <c r="J173" t="str">
        <v>D:/R/R-4.5.2/library</v>
      </c>
      <c r="K173" t="str">
        <v>Create 'Formattable' Data Structures</v>
      </c>
    </row>
    <row r="174" spans="9:11" x14ac:dyDescent="0.3">
      <c r="I174" t="str">
        <v>Formula</v>
      </c>
      <c r="J174" t="str">
        <v>D:/R/R-4.5.2/library</v>
      </c>
      <c r="K174" t="str">
        <v>Extended Model Formulas</v>
      </c>
    </row>
    <row r="175" spans="9:11" x14ac:dyDescent="0.3">
      <c r="I175" t="str">
        <v>fpp2</v>
      </c>
      <c r="J175" t="str">
        <v>D:/R/R-4.5.2/library</v>
      </c>
      <c r="K175" t="str">
        <v>Data for "Forecasting: Principles and Practice" (2nd Edition)</v>
      </c>
    </row>
    <row r="176" spans="9:11" x14ac:dyDescent="0.3">
      <c r="I176" t="str">
        <v>fracdiff</v>
      </c>
      <c r="J176" t="str">
        <v>D:/R/R-4.5.2/library</v>
      </c>
      <c r="K176" t="str">
        <v>Fractionally Differenced ARIMA aka ARFIMA(P,d,q) Models</v>
      </c>
    </row>
    <row r="177" spans="9:11" x14ac:dyDescent="0.3">
      <c r="I177" t="str">
        <v>FrF2</v>
      </c>
      <c r="J177" t="str">
        <v>D:/R/R-4.5.2/library</v>
      </c>
      <c r="K177" t="str">
        <v>Fractional Factorial Designs with 2-Level Factors</v>
      </c>
    </row>
    <row r="178" spans="9:11" x14ac:dyDescent="0.3">
      <c r="I178" t="str">
        <v>fs</v>
      </c>
      <c r="J178" t="str">
        <v>D:/R/R-4.5.2/library</v>
      </c>
      <c r="K178" t="str">
        <v>Cross-Platform File System Operations Based on 'libuv'</v>
      </c>
    </row>
    <row r="179" spans="9:11" x14ac:dyDescent="0.3">
      <c r="I179" t="str">
        <v>FSA</v>
      </c>
      <c r="J179" t="str">
        <v>D:/R/R-4.5.2/library</v>
      </c>
      <c r="K179" t="str">
        <v>Simple Fisheries Stock Assessment Methods</v>
      </c>
    </row>
    <row r="180" spans="9:11" x14ac:dyDescent="0.3">
      <c r="I180" t="str">
        <v>fst</v>
      </c>
      <c r="J180" t="str">
        <v>D:/R/R-4.5.2/library</v>
      </c>
      <c r="K180" t="str">
        <v>Lightning Fast Serialization of Data Frames</v>
      </c>
    </row>
    <row r="181" spans="9:11" x14ac:dyDescent="0.3">
      <c r="I181" t="str">
        <v>fstcore</v>
      </c>
      <c r="J181" t="str">
        <v>D:/R/R-4.5.2/library</v>
      </c>
      <c r="K181" t="str">
        <v>R Bindings to the 'Fstlib' Library</v>
      </c>
    </row>
    <row r="182" spans="9:11" x14ac:dyDescent="0.3">
      <c r="I182" t="str">
        <v>furrr</v>
      </c>
      <c r="J182" t="str">
        <v>D:/R/R-4.5.2/library</v>
      </c>
      <c r="K182" t="str">
        <v>Apply Mapping Functions in Parallel using Futures</v>
      </c>
    </row>
    <row r="183" spans="9:11" x14ac:dyDescent="0.3">
      <c r="I183" t="str">
        <v>future</v>
      </c>
      <c r="J183" t="str">
        <v>D:/R/R-4.5.2/library</v>
      </c>
      <c r="K183" t="str">
        <v>Unified Parallel and Distributed Processing in R for Everyone</v>
      </c>
    </row>
    <row r="184" spans="9:11" x14ac:dyDescent="0.3">
      <c r="I184" t="str">
        <v>future.apply</v>
      </c>
      <c r="J184" t="str">
        <v>D:/R/R-4.5.2/library</v>
      </c>
      <c r="K184" t="str">
        <v>Apply Function to Elements in Parallel using Futures</v>
      </c>
    </row>
    <row r="185" spans="9:11" x14ac:dyDescent="0.3">
      <c r="I185" t="str">
        <v>gapminder</v>
      </c>
      <c r="J185" t="str">
        <v>D:/R/R-4.5.2/library</v>
      </c>
      <c r="K185" t="str">
        <v>Data from Gapminder</v>
      </c>
    </row>
    <row r="186" spans="9:11" x14ac:dyDescent="0.3">
      <c r="I186" t="str">
        <v>gargle</v>
      </c>
      <c r="J186" t="str">
        <v>D:/R/R-4.5.2/library</v>
      </c>
      <c r="K186" t="str">
        <v>Utilities for Working with Google APIs</v>
      </c>
    </row>
    <row r="187" spans="9:11" x14ac:dyDescent="0.3">
      <c r="I187" t="str">
        <v>GauPro</v>
      </c>
      <c r="J187" t="str">
        <v>D:/R/R-4.5.2/library</v>
      </c>
      <c r="K187" t="str">
        <v>Gaussian Process Fitting</v>
      </c>
    </row>
    <row r="188" spans="9:11" x14ac:dyDescent="0.3">
      <c r="I188" t="str">
        <v>gbm</v>
      </c>
      <c r="J188" t="str">
        <v>D:/R/R-4.5.2/library</v>
      </c>
      <c r="K188" t="str">
        <v>Generalized Boosted Regression Models</v>
      </c>
    </row>
    <row r="189" spans="9:11" x14ac:dyDescent="0.3">
      <c r="I189" t="str">
        <v>gbRd</v>
      </c>
      <c r="J189" t="str">
        <v>D:/R/R-4.5.2/library</v>
      </c>
      <c r="K189" t="str">
        <v>Utilities for Processing Rd Objects and Files</v>
      </c>
    </row>
    <row r="190" spans="9:11" x14ac:dyDescent="0.3">
      <c r="I190" t="str">
        <v>gclus</v>
      </c>
      <c r="J190" t="str">
        <v>D:/R/R-4.5.2/library</v>
      </c>
      <c r="K190" t="str">
        <v>Clustering Graphics</v>
      </c>
    </row>
    <row r="191" spans="9:11" x14ac:dyDescent="0.3">
      <c r="I191" t="str">
        <v>gdata</v>
      </c>
      <c r="J191" t="str">
        <v>D:/R/R-4.5.2/library</v>
      </c>
      <c r="K191" t="str">
        <v>Various R Programming Tools for Data Manipulation</v>
      </c>
    </row>
    <row r="192" spans="9:11" x14ac:dyDescent="0.3">
      <c r="I192" t="str">
        <v>gdtools</v>
      </c>
      <c r="J192" t="str">
        <v>D:/R/R-4.5.2/library</v>
      </c>
      <c r="K192" t="str">
        <v>Utilities for Graphical Rendering and Fonts Management</v>
      </c>
    </row>
    <row r="193" spans="9:11" x14ac:dyDescent="0.3">
      <c r="I193" t="str">
        <v>generics</v>
      </c>
      <c r="J193" t="str">
        <v>D:/R/R-4.5.2/library</v>
      </c>
      <c r="K193" t="str">
        <v>Common S3 Generics not Provided by Base R Methods Related to
Model Fitting</v>
      </c>
    </row>
    <row r="194" spans="9:11" x14ac:dyDescent="0.3">
      <c r="I194" t="str">
        <v>GenSA</v>
      </c>
      <c r="J194" t="str">
        <v>D:/R/R-4.5.2/library</v>
      </c>
      <c r="K194" t="str">
        <v>R Functions for Generalized Simulated Annealing</v>
      </c>
    </row>
    <row r="195" spans="9:11" x14ac:dyDescent="0.3">
      <c r="I195" t="str">
        <v>gert</v>
      </c>
      <c r="J195" t="str">
        <v>D:/R/R-4.5.2/library</v>
      </c>
      <c r="K195" t="str">
        <v>Simple Git Client for R</v>
      </c>
    </row>
    <row r="196" spans="9:11" x14ac:dyDescent="0.3">
      <c r="I196" t="str">
        <v>GGally</v>
      </c>
      <c r="J196" t="str">
        <v>D:/R/R-4.5.2/library</v>
      </c>
      <c r="K196" t="str">
        <v>Extension to 'ggplot2'</v>
      </c>
    </row>
    <row r="197" spans="9:11" x14ac:dyDescent="0.3">
      <c r="I197" t="str">
        <v>ggbeeswarm</v>
      </c>
      <c r="J197" t="str">
        <v>D:/R/R-4.5.2/library</v>
      </c>
      <c r="K197" t="str">
        <v>Categorical Scatter (Violin Point) Plots</v>
      </c>
    </row>
    <row r="198" spans="9:11" x14ac:dyDescent="0.3">
      <c r="I198" t="str">
        <v>ggbiplot</v>
      </c>
      <c r="J198" t="str">
        <v>D:/R/R-4.5.2/library</v>
      </c>
      <c r="K198" t="str">
        <v>A Grammar of Graphics Implementation of Biplots</v>
      </c>
    </row>
    <row r="199" spans="9:11" x14ac:dyDescent="0.3">
      <c r="I199" t="str">
        <v>ggdist</v>
      </c>
      <c r="J199" t="str">
        <v>D:/R/R-4.5.2/library</v>
      </c>
      <c r="K199" t="str">
        <v>Visualizations of Distributions and Uncertainty</v>
      </c>
    </row>
    <row r="200" spans="9:11" x14ac:dyDescent="0.3">
      <c r="I200" t="str">
        <v>ggforce</v>
      </c>
      <c r="J200" t="str">
        <v>D:/R/R-4.5.2/library</v>
      </c>
      <c r="K200" t="str">
        <v>Accelerating 'ggplot2'</v>
      </c>
    </row>
    <row r="201" spans="9:11" x14ac:dyDescent="0.3">
      <c r="I201" t="str">
        <v>ggmap</v>
      </c>
      <c r="J201" t="str">
        <v>D:/R/R-4.5.2/library</v>
      </c>
      <c r="K201" t="str">
        <v>Spatial Visualization with ggplot2</v>
      </c>
    </row>
    <row r="202" spans="9:11" x14ac:dyDescent="0.3">
      <c r="I202" t="str">
        <v>ggplot2</v>
      </c>
      <c r="J202" t="str">
        <v>D:/R/R-4.5.2/library</v>
      </c>
      <c r="K202" t="str">
        <v>Create Elegant Data Visualisations Using the Grammar of Graphics</v>
      </c>
    </row>
    <row r="203" spans="9:11" x14ac:dyDescent="0.3">
      <c r="I203" t="str">
        <v>ggpubr</v>
      </c>
      <c r="J203" t="str">
        <v>D:/R/R-4.5.2/library</v>
      </c>
      <c r="K203" t="str">
        <v>'ggplot2' Based Publication Ready Plots</v>
      </c>
    </row>
    <row r="204" spans="9:11" x14ac:dyDescent="0.3">
      <c r="I204" t="str">
        <v>ggraph</v>
      </c>
      <c r="J204" t="str">
        <v>D:/R/R-4.5.2/library</v>
      </c>
      <c r="K204" t="str">
        <v>An Implementation of Grammar of Graphics for Graphs and Networks</v>
      </c>
    </row>
    <row r="205" spans="9:11" x14ac:dyDescent="0.3">
      <c r="I205" t="str">
        <v>ggraptR</v>
      </c>
      <c r="J205" t="str">
        <v>D:/R/R-4.5.2/library</v>
      </c>
      <c r="K205" t="str">
        <v>Allows Interactive Visualization of Data Through a Web Browser
GUI</v>
      </c>
    </row>
    <row r="206" spans="9:11" x14ac:dyDescent="0.3">
      <c r="I206" t="str">
        <v>ggrepel</v>
      </c>
      <c r="J206" t="str">
        <v>D:/R/R-4.5.2/library</v>
      </c>
      <c r="K206" t="str">
        <v>Automatically Position Non-Overlapping Text Labels with
'ggplot2'</v>
      </c>
    </row>
    <row r="207" spans="9:11" x14ac:dyDescent="0.3">
      <c r="I207" t="str">
        <v>ggridges</v>
      </c>
      <c r="J207" t="str">
        <v>D:/R/R-4.5.2/library</v>
      </c>
      <c r="K207" t="str">
        <v>Ridgeline Plots in 'ggplot2'</v>
      </c>
    </row>
    <row r="208" spans="9:11" x14ac:dyDescent="0.3">
      <c r="I208" t="str">
        <v>ggsci</v>
      </c>
      <c r="J208" t="str">
        <v>D:/R/R-4.5.2/library</v>
      </c>
      <c r="K208" t="str">
        <v>Scientific Journal and Sci-Fi Themed Color Palettes for
'ggplot2'</v>
      </c>
    </row>
    <row r="209" spans="9:11" x14ac:dyDescent="0.3">
      <c r="I209" t="str">
        <v>ggsignif</v>
      </c>
      <c r="J209" t="str">
        <v>D:/R/R-4.5.2/library</v>
      </c>
      <c r="K209" t="str">
        <v>Significance Brackets for 'ggplot2'</v>
      </c>
    </row>
    <row r="210" spans="9:11" x14ac:dyDescent="0.3">
      <c r="I210" t="str">
        <v>ggstats</v>
      </c>
      <c r="J210" t="str">
        <v>D:/R/R-4.5.2/library</v>
      </c>
      <c r="K210" t="str">
        <v>Extension to 'ggplot2' for Plotting Stats</v>
      </c>
    </row>
    <row r="211" spans="9:11" x14ac:dyDescent="0.3">
      <c r="I211" t="str">
        <v>ggtext</v>
      </c>
      <c r="J211" t="str">
        <v>D:/R/R-4.5.2/library</v>
      </c>
      <c r="K211" t="str">
        <v>Improved Text Rendering Support for 'ggplot2'</v>
      </c>
    </row>
    <row r="212" spans="9:11" x14ac:dyDescent="0.3">
      <c r="I212" t="str">
        <v>ggthemes</v>
      </c>
      <c r="J212" t="str">
        <v>D:/R/R-4.5.2/library</v>
      </c>
      <c r="K212" t="str">
        <v>Extra Themes, Scales and Geoms for 'ggplot2'</v>
      </c>
    </row>
    <row r="213" spans="9:11" x14ac:dyDescent="0.3">
      <c r="I213" t="str">
        <v>gh</v>
      </c>
      <c r="J213" t="str">
        <v>D:/R/R-4.5.2/library</v>
      </c>
      <c r="K213" t="str">
        <v>'GitHub' 'API'</v>
      </c>
    </row>
    <row r="214" spans="9:11" x14ac:dyDescent="0.3">
      <c r="I214" t="str">
        <v>gitcreds</v>
      </c>
      <c r="J214" t="str">
        <v>D:/R/R-4.5.2/library</v>
      </c>
      <c r="K214" t="str">
        <v>Query 'git' Credentials from 'R'</v>
      </c>
    </row>
    <row r="215" spans="9:11" x14ac:dyDescent="0.3">
      <c r="I215" t="str">
        <v>gld</v>
      </c>
      <c r="J215" t="str">
        <v>D:/R/R-4.5.2/library</v>
      </c>
      <c r="K215" t="str">
        <v>Estimation and Use of the Generalised (Tukey) Lambda
Distribution</v>
      </c>
    </row>
    <row r="216" spans="9:11" x14ac:dyDescent="0.3">
      <c r="I216" t="str">
        <v>glmnet</v>
      </c>
      <c r="J216" t="str">
        <v>D:/R/R-4.5.2/library</v>
      </c>
      <c r="K216" t="str">
        <v>Lasso and Elastic-Net Regularized Generalized Linear Models</v>
      </c>
    </row>
    <row r="217" spans="9:11" x14ac:dyDescent="0.3">
      <c r="I217" t="str">
        <v>globals</v>
      </c>
      <c r="J217" t="str">
        <v>D:/R/R-4.5.2/library</v>
      </c>
      <c r="K217" t="str">
        <v>Identify Global Objects in R Expressions</v>
      </c>
    </row>
    <row r="218" spans="9:11" x14ac:dyDescent="0.3">
      <c r="I218" t="str">
        <v>glue</v>
      </c>
      <c r="J218" t="str">
        <v>D:/R/R-4.5.2/library</v>
      </c>
      <c r="K218" t="str">
        <v>Interpreted String Literals</v>
      </c>
    </row>
    <row r="219" spans="9:11" x14ac:dyDescent="0.3">
      <c r="I219" t="str">
        <v>gmodels</v>
      </c>
      <c r="J219" t="str">
        <v>D:/R/R-4.5.2/library</v>
      </c>
      <c r="K219" t="str">
        <v>Various R Programming Tools for Model Fitting</v>
      </c>
    </row>
    <row r="220" spans="9:11" x14ac:dyDescent="0.3">
      <c r="I220" t="str">
        <v>gmp</v>
      </c>
      <c r="J220" t="str">
        <v>D:/R/R-4.5.2/library</v>
      </c>
      <c r="K220" t="str">
        <v>Multiple Precision Arithmetic</v>
      </c>
    </row>
    <row r="221" spans="9:11" x14ac:dyDescent="0.3">
      <c r="I221" t="str">
        <v>googledrive</v>
      </c>
      <c r="J221" t="str">
        <v>D:/R/R-4.5.2/library</v>
      </c>
      <c r="K221" t="str">
        <v>An Interface to Google Drive</v>
      </c>
    </row>
    <row r="222" spans="9:11" x14ac:dyDescent="0.3">
      <c r="I222" t="str">
        <v>googlesheets4</v>
      </c>
      <c r="J222" t="str">
        <v>D:/R/R-4.5.2/library</v>
      </c>
      <c r="K222" t="str">
        <v>Access Google Sheets using the Sheets API V4</v>
      </c>
    </row>
    <row r="223" spans="9:11" x14ac:dyDescent="0.3">
      <c r="I223" t="str">
        <v>gower</v>
      </c>
      <c r="J223" t="str">
        <v>D:/R/R-4.5.2/library</v>
      </c>
      <c r="K223" t="str">
        <v>Gower's Distance</v>
      </c>
    </row>
    <row r="224" spans="9:11" x14ac:dyDescent="0.3">
      <c r="I224" t="str">
        <v>GPArotation</v>
      </c>
      <c r="J224" t="str">
        <v>D:/R/R-4.5.2/library</v>
      </c>
      <c r="K224" t="str">
        <v>Gradient Projection Factor Rotation</v>
      </c>
    </row>
    <row r="225" spans="9:11" x14ac:dyDescent="0.3">
      <c r="I225" t="str">
        <v>gplots</v>
      </c>
      <c r="J225" t="str">
        <v>D:/R/R-4.5.2/library</v>
      </c>
      <c r="K225" t="str">
        <v>Various R Programming Tools for Plotting Data</v>
      </c>
    </row>
    <row r="226" spans="9:11" x14ac:dyDescent="0.3">
      <c r="I226" t="str">
        <v>graphics</v>
      </c>
      <c r="J226" t="str">
        <v>D:/R/R-4.5.2/library</v>
      </c>
      <c r="K226" t="str">
        <v>The R Graphics Package</v>
      </c>
    </row>
    <row r="227" spans="9:11" x14ac:dyDescent="0.3">
      <c r="I227" t="str">
        <v>graphlayouts</v>
      </c>
      <c r="J227" t="str">
        <v>D:/R/R-4.5.2/library</v>
      </c>
      <c r="K227" t="str">
        <v>Additional Layout Algorithms for Network Visualizations</v>
      </c>
    </row>
    <row r="228" spans="9:11" x14ac:dyDescent="0.3">
      <c r="I228" t="str">
        <v>grDevices</v>
      </c>
      <c r="J228" t="str">
        <v>D:/R/R-4.5.2/library</v>
      </c>
      <c r="K228" t="str">
        <v>The R Graphics Devices and Support for Colours and Fonts</v>
      </c>
    </row>
    <row r="229" spans="9:11" x14ac:dyDescent="0.3">
      <c r="I229" t="str">
        <v>grid</v>
      </c>
      <c r="J229" t="str">
        <v>D:/R/R-4.5.2/library</v>
      </c>
      <c r="K229" t="str">
        <v>The Grid Graphics Package</v>
      </c>
    </row>
    <row r="230" spans="9:11" x14ac:dyDescent="0.3">
      <c r="I230" t="str">
        <v>gridExtra</v>
      </c>
      <c r="J230" t="str">
        <v>D:/R/R-4.5.2/library</v>
      </c>
      <c r="K230" t="str">
        <v>Miscellaneous Functions for "Grid" Graphics</v>
      </c>
    </row>
    <row r="231" spans="9:11" x14ac:dyDescent="0.3">
      <c r="I231" t="str">
        <v>gridtext</v>
      </c>
      <c r="J231" t="str">
        <v>D:/R/R-4.5.2/library</v>
      </c>
      <c r="K231" t="str">
        <v>Improved Text Rendering Support for 'Grid' Graphics</v>
      </c>
    </row>
    <row r="232" spans="9:11" x14ac:dyDescent="0.3">
      <c r="I232" t="str">
        <v>gsl</v>
      </c>
      <c r="J232" t="str">
        <v>D:/R/R-4.5.2/library</v>
      </c>
      <c r="K232" t="str">
        <v>Wrapper for the Gnu Scientific Library</v>
      </c>
    </row>
    <row r="233" spans="9:11" x14ac:dyDescent="0.3">
      <c r="I233" t="str">
        <v>gss</v>
      </c>
      <c r="J233" t="str">
        <v>D:/R/R-4.5.2/library</v>
      </c>
      <c r="K233" t="str">
        <v>General Smoothing Splines</v>
      </c>
    </row>
    <row r="234" spans="9:11" x14ac:dyDescent="0.3">
      <c r="I234" t="str">
        <v>gtable</v>
      </c>
      <c r="J234" t="str">
        <v>D:/R/R-4.5.2/library</v>
      </c>
      <c r="K234" t="str">
        <v>Arrange 'Grobs' in Tables</v>
      </c>
    </row>
    <row r="235" spans="9:11" x14ac:dyDescent="0.3">
      <c r="I235" t="str">
        <v>gtools</v>
      </c>
      <c r="J235" t="str">
        <v>D:/R/R-4.5.2/library</v>
      </c>
      <c r="K235" t="str">
        <v>Various R Programming Tools</v>
      </c>
    </row>
    <row r="236" spans="9:11" x14ac:dyDescent="0.3">
      <c r="I236" t="str">
        <v>gWidgets2</v>
      </c>
      <c r="J236" t="str">
        <v>D:/R/R-4.5.2/library</v>
      </c>
      <c r="K236" t="str">
        <v>Rewrite of gWidgets API for Simplified GUI Construction</v>
      </c>
    </row>
    <row r="237" spans="9:11" x14ac:dyDescent="0.3">
      <c r="I237" t="str">
        <v>gWidgets2tcltk</v>
      </c>
      <c r="J237" t="str">
        <v>D:/R/R-4.5.2/library</v>
      </c>
      <c r="K237" t="str">
        <v>Toolkit Implementation of gWidgets2 for tcltk</v>
      </c>
    </row>
    <row r="238" spans="9:11" x14ac:dyDescent="0.3">
      <c r="I238" t="str">
        <v>hardhat</v>
      </c>
      <c r="J238" t="str">
        <v>D:/R/R-4.5.2/library</v>
      </c>
      <c r="K238" t="str">
        <v>Construct Modeling Packages</v>
      </c>
    </row>
    <row r="239" spans="9:11" x14ac:dyDescent="0.3">
      <c r="I239" t="str">
        <v>haven</v>
      </c>
      <c r="J239" t="str">
        <v>D:/R/R-4.5.2/library</v>
      </c>
      <c r="K239" t="str">
        <v>Import and Export 'SPSS', 'Stata' and 'SAS' Files</v>
      </c>
    </row>
    <row r="240" spans="9:11" x14ac:dyDescent="0.3">
      <c r="I240" t="str">
        <v>hdrcde</v>
      </c>
      <c r="J240" t="str">
        <v>D:/R/R-4.5.2/library</v>
      </c>
      <c r="K240" t="str">
        <v>Highest Density Regions and Conditional Density Estimation</v>
      </c>
    </row>
    <row r="241" spans="9:11" x14ac:dyDescent="0.3">
      <c r="I241" t="str">
        <v>heplots</v>
      </c>
      <c r="J241" t="str">
        <v>D:/R/R-4.5.2/library</v>
      </c>
      <c r="K241" t="str">
        <v>Visualizing Hypothesis Tests in Multivariate Linear Models</v>
      </c>
    </row>
    <row r="242" spans="9:11" x14ac:dyDescent="0.3">
      <c r="I242" t="str">
        <v>here</v>
      </c>
      <c r="J242" t="str">
        <v>D:/R/R-4.5.2/library</v>
      </c>
      <c r="K242" t="str">
        <v>A Simpler Way to Find Your Files</v>
      </c>
    </row>
    <row r="243" spans="9:11" x14ac:dyDescent="0.3">
      <c r="I243" t="str">
        <v>hexbin</v>
      </c>
      <c r="J243" t="str">
        <v>D:/R/R-4.5.2/library</v>
      </c>
      <c r="K243" t="str">
        <v>Hexagonal Binning Routines</v>
      </c>
    </row>
    <row r="244" spans="9:11" x14ac:dyDescent="0.3">
      <c r="I244" t="str">
        <v>hexView</v>
      </c>
      <c r="J244" t="str">
        <v>D:/R/R-4.5.2/library</v>
      </c>
      <c r="K244" t="str">
        <v>Viewing Binary Files</v>
      </c>
    </row>
    <row r="245" spans="9:11" x14ac:dyDescent="0.3">
      <c r="I245" t="str">
        <v>highr</v>
      </c>
      <c r="J245" t="str">
        <v>D:/R/R-4.5.2/library</v>
      </c>
      <c r="K245" t="str">
        <v>Syntax Highlighting for R Source Code</v>
      </c>
    </row>
    <row r="246" spans="9:11" x14ac:dyDescent="0.3">
      <c r="I246" t="str">
        <v>Hmisc</v>
      </c>
      <c r="J246" t="str">
        <v>D:/R/R-4.5.2/library</v>
      </c>
      <c r="K246" t="str">
        <v>Harrell Miscellaneous</v>
      </c>
    </row>
    <row r="247" spans="9:11" x14ac:dyDescent="0.3">
      <c r="I247" t="str">
        <v>hms</v>
      </c>
      <c r="J247" t="str">
        <v>D:/R/R-4.5.2/library</v>
      </c>
      <c r="K247" t="str">
        <v>Pretty Time of Day</v>
      </c>
    </row>
    <row r="248" spans="9:11" x14ac:dyDescent="0.3">
      <c r="I248" t="str">
        <v>htmlTable</v>
      </c>
      <c r="J248" t="str">
        <v>D:/R/R-4.5.2/library</v>
      </c>
      <c r="K248" t="str">
        <v>Advanced Tables for Markdown/HTML</v>
      </c>
    </row>
    <row r="249" spans="9:11" x14ac:dyDescent="0.3">
      <c r="I249" t="str">
        <v>htmltools</v>
      </c>
      <c r="J249" t="str">
        <v>D:/R/R-4.5.2/library</v>
      </c>
      <c r="K249" t="str">
        <v>Tools for HTML</v>
      </c>
    </row>
    <row r="250" spans="9:11" x14ac:dyDescent="0.3">
      <c r="I250" t="str">
        <v>htmlwidgets</v>
      </c>
      <c r="J250" t="str">
        <v>D:/R/R-4.5.2/library</v>
      </c>
      <c r="K250" t="str">
        <v>HTML Widgets for R</v>
      </c>
    </row>
    <row r="251" spans="9:11" x14ac:dyDescent="0.3">
      <c r="I251" t="str">
        <v>httpuv</v>
      </c>
      <c r="J251" t="str">
        <v>D:/R/R-4.5.2/library</v>
      </c>
      <c r="K251" t="str">
        <v>HTTP and WebSocket Server Library</v>
      </c>
    </row>
    <row r="252" spans="9:11" x14ac:dyDescent="0.3">
      <c r="I252" t="str">
        <v>httr</v>
      </c>
      <c r="J252" t="str">
        <v>D:/R/R-4.5.2/library</v>
      </c>
      <c r="K252" t="str">
        <v>Tools for Working with URLs and HTTP</v>
      </c>
    </row>
    <row r="253" spans="9:11" x14ac:dyDescent="0.3">
      <c r="I253" t="str">
        <v>httr2</v>
      </c>
      <c r="J253" t="str">
        <v>D:/R/R-4.5.2/library</v>
      </c>
      <c r="K253" t="str">
        <v>Perform HTTP Requests and Process the Responses</v>
      </c>
    </row>
    <row r="254" spans="9:11" x14ac:dyDescent="0.3">
      <c r="I254" t="str">
        <v>ids</v>
      </c>
      <c r="J254" t="str">
        <v>D:/R/R-4.5.2/library</v>
      </c>
      <c r="K254" t="str">
        <v>Generate Random Identifiers</v>
      </c>
    </row>
    <row r="255" spans="9:11" x14ac:dyDescent="0.3">
      <c r="I255" t="str">
        <v>igraph</v>
      </c>
      <c r="J255" t="str">
        <v>D:/R/R-4.5.2/library</v>
      </c>
      <c r="K255" t="str">
        <v>Network Analysis and Visualization</v>
      </c>
    </row>
    <row r="256" spans="9:11" x14ac:dyDescent="0.3">
      <c r="I256" t="str">
        <v>infer</v>
      </c>
      <c r="J256" t="str">
        <v>D:/R/R-4.5.2/library</v>
      </c>
      <c r="K256" t="str">
        <v>Tidy Statistical Inference</v>
      </c>
    </row>
    <row r="257" spans="9:11" x14ac:dyDescent="0.3">
      <c r="I257" t="str">
        <v>ini</v>
      </c>
      <c r="J257" t="str">
        <v>D:/R/R-4.5.2/library</v>
      </c>
      <c r="K257" t="str">
        <v>Read and Write '.ini' Files</v>
      </c>
    </row>
    <row r="258" spans="9:11" x14ac:dyDescent="0.3">
      <c r="I258" t="str">
        <v>inline</v>
      </c>
      <c r="J258" t="str">
        <v>D:/R/R-4.5.2/library</v>
      </c>
      <c r="K258" t="str">
        <v>Functions to Inline C, C++, Fortran Function Calls from R</v>
      </c>
    </row>
    <row r="259" spans="9:11" x14ac:dyDescent="0.3">
      <c r="I259" t="str">
        <v>insight</v>
      </c>
      <c r="J259" t="str">
        <v>D:/R/R-4.5.2/library</v>
      </c>
      <c r="K259" t="str">
        <v>Easy Access to Model Information for Various Model Objects</v>
      </c>
    </row>
    <row r="260" spans="9:11" x14ac:dyDescent="0.3">
      <c r="I260" t="str">
        <v>interp</v>
      </c>
      <c r="J260" t="str">
        <v>D:/R/R-4.5.2/library</v>
      </c>
      <c r="K260" t="str">
        <v>Interpolation Methods</v>
      </c>
    </row>
    <row r="261" spans="9:11" x14ac:dyDescent="0.3">
      <c r="I261" t="str">
        <v>inum</v>
      </c>
      <c r="J261" t="str">
        <v>D:/R/R-4.5.2/library</v>
      </c>
      <c r="K261" t="str">
        <v>Interval and Enum-Type Representation of Vectors</v>
      </c>
    </row>
    <row r="262" spans="9:11" x14ac:dyDescent="0.3">
      <c r="I262" t="str">
        <v>iplots</v>
      </c>
      <c r="J262" t="str">
        <v>D:/R/R-4.5.2/library</v>
      </c>
      <c r="K262" t="str">
        <v>iPlots - Interactive Graphics for R</v>
      </c>
    </row>
    <row r="263" spans="9:11" x14ac:dyDescent="0.3">
      <c r="I263" t="str">
        <v>ipred</v>
      </c>
      <c r="J263" t="str">
        <v>D:/R/R-4.5.2/library</v>
      </c>
      <c r="K263" t="str">
        <v>Improved Predictors</v>
      </c>
    </row>
    <row r="264" spans="9:11" x14ac:dyDescent="0.3">
      <c r="I264" t="str">
        <v>irr</v>
      </c>
      <c r="J264" t="str">
        <v>D:/R/R-4.5.2/library</v>
      </c>
      <c r="K264" t="str">
        <v>Various Coefficients of Interrater Reliability and Agreement</v>
      </c>
    </row>
    <row r="265" spans="9:11" x14ac:dyDescent="0.3">
      <c r="I265" t="str">
        <v>irrCAC</v>
      </c>
      <c r="J265" t="str">
        <v>D:/R/R-4.5.2/library</v>
      </c>
      <c r="K265" t="str">
        <v>Computing Chance-Corrected Agreement Coefficients (CAC)</v>
      </c>
    </row>
    <row r="266" spans="9:11" x14ac:dyDescent="0.3">
      <c r="I266" t="str">
        <v>isoband</v>
      </c>
      <c r="J266" t="str">
        <v>D:/R/R-4.5.2/library</v>
      </c>
      <c r="K266" t="str">
        <v>Generate Isolines and Isobands from Regularly Spaced Elevation
Grids</v>
      </c>
    </row>
    <row r="267" spans="9:11" x14ac:dyDescent="0.3">
      <c r="I267" t="str">
        <v>iterators</v>
      </c>
      <c r="J267" t="str">
        <v>D:/R/R-4.5.2/library</v>
      </c>
      <c r="K267" t="str">
        <v>Provides Iterator Construct</v>
      </c>
    </row>
    <row r="268" spans="9:11" x14ac:dyDescent="0.3">
      <c r="I268" t="str">
        <v>itertools</v>
      </c>
      <c r="J268" t="str">
        <v>D:/R/R-4.5.2/library</v>
      </c>
      <c r="K268" t="str">
        <v>Iterator Tools</v>
      </c>
    </row>
    <row r="269" spans="9:11" x14ac:dyDescent="0.3">
      <c r="I269" t="str">
        <v>janitor</v>
      </c>
      <c r="J269" t="str">
        <v>D:/R/R-4.5.2/library</v>
      </c>
      <c r="K269" t="str">
        <v>Simple Tools for Examining and Cleaning Dirty Data</v>
      </c>
    </row>
    <row r="270" spans="9:11" x14ac:dyDescent="0.3">
      <c r="I270" t="str">
        <v>jomo</v>
      </c>
      <c r="J270" t="str">
        <v>D:/R/R-4.5.2/library</v>
      </c>
      <c r="K270" t="str">
        <v>Multilevel Joint Modelling Multiple Imputation</v>
      </c>
    </row>
    <row r="271" spans="9:11" x14ac:dyDescent="0.3">
      <c r="I271" t="str">
        <v>jpeg</v>
      </c>
      <c r="J271" t="str">
        <v>D:/R/R-4.5.2/library</v>
      </c>
      <c r="K271" t="str">
        <v>Read and write JPEG images</v>
      </c>
    </row>
    <row r="272" spans="9:11" x14ac:dyDescent="0.3">
      <c r="I272" t="str">
        <v>jquerylib</v>
      </c>
      <c r="J272" t="str">
        <v>D:/R/R-4.5.2/library</v>
      </c>
      <c r="K272" t="str">
        <v>Obtain 'jQuery' as an HTML Dependency Object</v>
      </c>
    </row>
    <row r="273" spans="9:11" x14ac:dyDescent="0.3">
      <c r="I273" t="str">
        <v>jsonlite</v>
      </c>
      <c r="J273" t="str">
        <v>D:/R/R-4.5.2/library</v>
      </c>
      <c r="K273" t="str">
        <v>A Simple and Robust JSON Parser and Generator for R</v>
      </c>
    </row>
    <row r="274" spans="9:11" x14ac:dyDescent="0.3">
      <c r="I274" t="str">
        <v>kableExtra</v>
      </c>
      <c r="J274" t="str">
        <v>D:/R/R-4.5.2/library</v>
      </c>
      <c r="K274" t="str">
        <v>Construct Complex Table with 'kable' and Pipe Syntax</v>
      </c>
    </row>
    <row r="275" spans="9:11" x14ac:dyDescent="0.3">
      <c r="I275" t="str">
        <v>kernlab</v>
      </c>
      <c r="J275" t="str">
        <v>D:/R/R-4.5.2/library</v>
      </c>
      <c r="K275" t="str">
        <v>Kernel-Based Machine Learning Lab</v>
      </c>
    </row>
    <row r="276" spans="9:11" x14ac:dyDescent="0.3">
      <c r="I276" t="str">
        <v>KernSmooth</v>
      </c>
      <c r="J276" t="str">
        <v>D:/R/R-4.5.2/library</v>
      </c>
      <c r="K276" t="str">
        <v>Functions for Kernel Smoothing Supporting Wand &amp; Jones (1995)</v>
      </c>
    </row>
    <row r="277" spans="9:11" x14ac:dyDescent="0.3">
      <c r="I277" t="str">
        <v>klaR</v>
      </c>
      <c r="J277" t="str">
        <v>D:/R/R-4.5.2/library</v>
      </c>
      <c r="K277" t="str">
        <v>Classification and Visualization</v>
      </c>
    </row>
    <row r="278" spans="9:11" x14ac:dyDescent="0.3">
      <c r="I278" t="str">
        <v>km.ci</v>
      </c>
      <c r="J278" t="str">
        <v>D:/R/R-4.5.2/library</v>
      </c>
      <c r="K278" t="str">
        <v>Confidence Intervals for the Kaplan-Meier Estimator</v>
      </c>
    </row>
    <row r="279" spans="9:11" x14ac:dyDescent="0.3">
      <c r="I279" t="str">
        <v>KMsurv</v>
      </c>
      <c r="J279" t="str">
        <v>D:/R/R-4.5.2/library</v>
      </c>
      <c r="K279" t="str">
        <v>Datasets from Klein and Moeschberger (1997), Survival Analysis</v>
      </c>
    </row>
    <row r="280" spans="9:11" x14ac:dyDescent="0.3">
      <c r="I280" t="str">
        <v>knitr</v>
      </c>
      <c r="J280" t="str">
        <v>D:/R/R-4.5.2/library</v>
      </c>
      <c r="K280" t="str">
        <v>A General-Purpose Package for Dynamic Report Generation in R</v>
      </c>
    </row>
    <row r="281" spans="9:11" x14ac:dyDescent="0.3">
      <c r="I281" t="str">
        <v>ks</v>
      </c>
      <c r="J281" t="str">
        <v>D:/R/R-4.5.2/library</v>
      </c>
      <c r="K281" t="str">
        <v>Kernel Smoothing</v>
      </c>
    </row>
    <row r="282" spans="9:11" x14ac:dyDescent="0.3">
      <c r="I282" t="str">
        <v>kutils</v>
      </c>
      <c r="J282" t="str">
        <v>D:/R/R-4.5.2/library</v>
      </c>
      <c r="K282" t="str">
        <v>Project Management Tools</v>
      </c>
    </row>
    <row r="283" spans="9:11" x14ac:dyDescent="0.3">
      <c r="I283" t="str">
        <v>labeling</v>
      </c>
      <c r="J283" t="str">
        <v>D:/R/R-4.5.2/library</v>
      </c>
      <c r="K283" t="str">
        <v>Axis Labeling</v>
      </c>
    </row>
    <row r="284" spans="9:11" x14ac:dyDescent="0.3">
      <c r="I284" t="str">
        <v>labelled</v>
      </c>
      <c r="J284" t="str">
        <v>D:/R/R-4.5.2/library</v>
      </c>
      <c r="K284" t="str">
        <v>Manipulating Labelled Data</v>
      </c>
    </row>
    <row r="285" spans="9:11" x14ac:dyDescent="0.3">
      <c r="I285" t="str">
        <v>laeken</v>
      </c>
      <c r="J285" t="str">
        <v>D:/R/R-4.5.2/library</v>
      </c>
      <c r="K285" t="str">
        <v>Estimation of Indicators on Social Exclusion and Poverty</v>
      </c>
    </row>
    <row r="286" spans="9:11" x14ac:dyDescent="0.3">
      <c r="I286" t="str">
        <v>languageserver</v>
      </c>
      <c r="J286" t="str">
        <v>D:/R/R-4.5.2/library</v>
      </c>
      <c r="K286" t="str">
        <v>Language Server Protocol</v>
      </c>
    </row>
    <row r="287" spans="9:11" x14ac:dyDescent="0.3">
      <c r="I287" t="str">
        <v>lars</v>
      </c>
      <c r="J287" t="str">
        <v>D:/R/R-4.5.2/library</v>
      </c>
      <c r="K287" t="str">
        <v>Least Angle Regression, Lasso and Forward Stagewise</v>
      </c>
    </row>
    <row r="288" spans="9:11" x14ac:dyDescent="0.3">
      <c r="I288" t="str">
        <v>later</v>
      </c>
      <c r="J288" t="str">
        <v>D:/R/R-4.5.2/library</v>
      </c>
      <c r="K288" t="str">
        <v>Utilities for Scheduling Functions to Execute Later with Event
Loops</v>
      </c>
    </row>
    <row r="289" spans="9:11" x14ac:dyDescent="0.3">
      <c r="I289" t="str">
        <v>lattice</v>
      </c>
      <c r="J289" t="str">
        <v>D:/R/R-4.5.2/library</v>
      </c>
      <c r="K289" t="str">
        <v>Trellis Graphics for R</v>
      </c>
    </row>
    <row r="290" spans="9:11" x14ac:dyDescent="0.3">
      <c r="I290" t="str">
        <v>latticeExtra</v>
      </c>
      <c r="J290" t="str">
        <v>D:/R/R-4.5.2/library</v>
      </c>
      <c r="K290" t="str">
        <v>Extra Graphical Utilities Based on Lattice</v>
      </c>
    </row>
    <row r="291" spans="9:11" x14ac:dyDescent="0.3">
      <c r="I291" t="str">
        <v>lava</v>
      </c>
      <c r="J291" t="str">
        <v>D:/R/R-4.5.2/library</v>
      </c>
      <c r="K291" t="str">
        <v>Latent Variable Models</v>
      </c>
    </row>
    <row r="292" spans="9:11" x14ac:dyDescent="0.3">
      <c r="I292" t="str">
        <v>lazyeval</v>
      </c>
      <c r="J292" t="str">
        <v>D:/R/R-4.5.2/library</v>
      </c>
      <c r="K292" t="str">
        <v>Lazy (Non-Standard) Evaluation</v>
      </c>
    </row>
    <row r="293" spans="9:11" x14ac:dyDescent="0.3">
      <c r="I293" t="str">
        <v>lbfgs</v>
      </c>
      <c r="J293" t="str">
        <v>D:/R/R-4.5.2/library</v>
      </c>
      <c r="K293" t="str">
        <v>Limited-memory BFGS Optimization</v>
      </c>
    </row>
    <row r="294" spans="9:11" x14ac:dyDescent="0.3">
      <c r="I294" t="str">
        <v>leaps</v>
      </c>
      <c r="J294" t="str">
        <v>D:/R/R-4.5.2/library</v>
      </c>
      <c r="K294" t="str">
        <v>Regression Subset Selection</v>
      </c>
    </row>
    <row r="295" spans="9:11" x14ac:dyDescent="0.3">
      <c r="I295" t="str">
        <v>lgr</v>
      </c>
      <c r="J295" t="str">
        <v>D:/R/R-4.5.2/library</v>
      </c>
      <c r="K295" t="str">
        <v>A Fully Featured Logging Framework</v>
      </c>
    </row>
    <row r="296" spans="9:11" x14ac:dyDescent="0.3">
      <c r="I296" t="str">
        <v>lhs</v>
      </c>
      <c r="J296" t="str">
        <v>D:/R/R-4.5.2/library</v>
      </c>
      <c r="K296" t="str">
        <v>Latin Hypercube Samples</v>
      </c>
    </row>
    <row r="297" spans="9:11" x14ac:dyDescent="0.3">
      <c r="I297" t="str">
        <v>libcoin</v>
      </c>
      <c r="J297" t="str">
        <v>D:/R/R-4.5.2/library</v>
      </c>
      <c r="K297" t="str">
        <v>Linear Test Statistics for Permutation Inference</v>
      </c>
    </row>
    <row r="298" spans="9:11" x14ac:dyDescent="0.3">
      <c r="I298" t="str">
        <v>lifecycle</v>
      </c>
      <c r="J298" t="str">
        <v>D:/R/R-4.5.2/library</v>
      </c>
      <c r="K298" t="str">
        <v>Manage the Life Cycle of your Package Functions</v>
      </c>
    </row>
    <row r="299" spans="9:11" x14ac:dyDescent="0.3">
      <c r="I299" t="str">
        <v>lintr</v>
      </c>
      <c r="J299" t="str">
        <v>D:/R/R-4.5.2/library</v>
      </c>
      <c r="K299" t="str">
        <v>A 'Linter' for R Code</v>
      </c>
    </row>
    <row r="300" spans="9:11" x14ac:dyDescent="0.3">
      <c r="I300" t="str">
        <v>listenv</v>
      </c>
      <c r="J300" t="str">
        <v>D:/R/R-4.5.2/library</v>
      </c>
      <c r="K300" t="str">
        <v>Environments Behaving (Almost) as Lists</v>
      </c>
    </row>
    <row r="301" spans="9:11" x14ac:dyDescent="0.3">
      <c r="I301" t="str">
        <v>litedown</v>
      </c>
      <c r="J301" t="str">
        <v>D:/R/R-4.5.2/library</v>
      </c>
      <c r="K301" t="str">
        <v>A Lightweight Version of R Markdown</v>
      </c>
    </row>
    <row r="302" spans="9:11" x14ac:dyDescent="0.3">
      <c r="I302" t="str">
        <v>lme4</v>
      </c>
      <c r="J302" t="str">
        <v>D:/R/R-4.5.2/library</v>
      </c>
      <c r="K302" t="str">
        <v>Linear Mixed-Effects Models using 'Eigen' and S4</v>
      </c>
    </row>
    <row r="303" spans="9:11" x14ac:dyDescent="0.3">
      <c r="I303" t="str">
        <v>lmerTest</v>
      </c>
      <c r="J303" t="str">
        <v>D:/R/R-4.5.2/library</v>
      </c>
      <c r="K303" t="str">
        <v>Tests in Linear Mixed Effects Models</v>
      </c>
    </row>
    <row r="304" spans="9:11" x14ac:dyDescent="0.3">
      <c r="I304" t="str">
        <v>lmom</v>
      </c>
      <c r="J304" t="str">
        <v>D:/R/R-4.5.2/library</v>
      </c>
      <c r="K304" t="str">
        <v>L-Moments</v>
      </c>
    </row>
    <row r="305" spans="9:11" x14ac:dyDescent="0.3">
      <c r="I305" t="str">
        <v>lmtest</v>
      </c>
      <c r="J305" t="str">
        <v>D:/R/R-4.5.2/library</v>
      </c>
      <c r="K305" t="str">
        <v>Testing Linear Regression Models</v>
      </c>
    </row>
    <row r="306" spans="9:11" x14ac:dyDescent="0.3">
      <c r="I306" t="str">
        <v>lobstr</v>
      </c>
      <c r="J306" t="str">
        <v>D:/R/R-4.5.2/library</v>
      </c>
      <c r="K306" t="str">
        <v>Visualize R Data Structures with Trees</v>
      </c>
    </row>
    <row r="307" spans="9:11" x14ac:dyDescent="0.3">
      <c r="I307" t="str">
        <v>locfit</v>
      </c>
      <c r="J307" t="str">
        <v>D:/R/R-4.5.2/library</v>
      </c>
      <c r="K307" t="str">
        <v>Local Regression, Likelihood and Density Estimation</v>
      </c>
    </row>
    <row r="308" spans="9:11" x14ac:dyDescent="0.3">
      <c r="I308" t="str">
        <v>LogicReg</v>
      </c>
      <c r="J308" t="str">
        <v>D:/R/R-4.5.2/library</v>
      </c>
      <c r="K308" t="str">
        <v>Logic Regression</v>
      </c>
    </row>
    <row r="309" spans="9:11" x14ac:dyDescent="0.3">
      <c r="I309" t="str">
        <v>loo</v>
      </c>
      <c r="J309" t="str">
        <v>D:/R/R-4.5.2/library</v>
      </c>
      <c r="K309" t="str">
        <v>Efficient Leave-One-Out Cross-Validation and WAIC for Bayesian
Models</v>
      </c>
    </row>
    <row r="310" spans="9:11" x14ac:dyDescent="0.3">
      <c r="I310" t="str">
        <v>lpSolve</v>
      </c>
      <c r="J310" t="str">
        <v>D:/R/R-4.5.2/library</v>
      </c>
      <c r="K310" t="str">
        <v>Interface to 'Lp_solve' v. 5.5 to Solve Linear/Integer Programs</v>
      </c>
    </row>
    <row r="311" spans="9:11" x14ac:dyDescent="0.3">
      <c r="I311" t="str">
        <v>lsr</v>
      </c>
      <c r="J311" t="str">
        <v>D:/R/R-4.5.2/library</v>
      </c>
      <c r="K311" t="str">
        <v>Companion to "Learning Statistics with R"</v>
      </c>
    </row>
    <row r="312" spans="9:11" x14ac:dyDescent="0.3">
      <c r="I312" t="str">
        <v>lubridate</v>
      </c>
      <c r="J312" t="str">
        <v>D:/R/R-4.5.2/library</v>
      </c>
      <c r="K312" t="str">
        <v>Make Dealing with Dates a Little Easier</v>
      </c>
    </row>
    <row r="313" spans="9:11" x14ac:dyDescent="0.3">
      <c r="I313" t="str">
        <v>magick</v>
      </c>
      <c r="J313" t="str">
        <v>D:/R/R-4.5.2/library</v>
      </c>
      <c r="K313" t="str">
        <v>Advanced Graphics and Image-Processing in R</v>
      </c>
    </row>
    <row r="314" spans="9:11" x14ac:dyDescent="0.3">
      <c r="I314" t="str">
        <v>magrittr</v>
      </c>
      <c r="J314" t="str">
        <v>D:/R/R-4.5.2/library</v>
      </c>
      <c r="K314" t="str">
        <v>A Forward-Pipe Operator for R</v>
      </c>
    </row>
    <row r="315" spans="9:11" x14ac:dyDescent="0.3">
      <c r="I315" t="str">
        <v>manipulate</v>
      </c>
      <c r="J315" t="str">
        <v>D:/R/R-4.5.2/library</v>
      </c>
      <c r="K315" t="str">
        <v>Interactive Plots for RStudio</v>
      </c>
    </row>
    <row r="316" spans="9:11" x14ac:dyDescent="0.3">
      <c r="I316" t="str">
        <v>manipulateWidget</v>
      </c>
      <c r="J316" t="str">
        <v>D:/R/R-4.5.2/library</v>
      </c>
      <c r="K316" t="str">
        <v>Add Even More Interactivity to Interactive Charts</v>
      </c>
    </row>
    <row r="317" spans="9:11" x14ac:dyDescent="0.3">
      <c r="I317" t="str">
        <v>maps</v>
      </c>
      <c r="J317" t="str">
        <v>D:/R/R-4.5.2/library</v>
      </c>
      <c r="K317" t="str">
        <v>Draw Geographical Maps</v>
      </c>
    </row>
    <row r="318" spans="9:11" x14ac:dyDescent="0.3">
      <c r="I318" t="str">
        <v>markdown</v>
      </c>
      <c r="J318" t="str">
        <v>D:/R/R-4.5.2/library</v>
      </c>
      <c r="K318" t="str">
        <v>Render Markdown with 'commonmark'</v>
      </c>
    </row>
    <row r="319" spans="9:11" x14ac:dyDescent="0.3">
      <c r="I319" t="str">
        <v>MASS</v>
      </c>
      <c r="J319" t="str">
        <v>D:/R/R-4.5.2/library</v>
      </c>
      <c r="K319" t="str">
        <v>Support Functions and Datasets for Venables and Ripley's MASS</v>
      </c>
    </row>
    <row r="320" spans="9:11" x14ac:dyDescent="0.3">
      <c r="I320" t="str">
        <v>mathjaxr</v>
      </c>
      <c r="J320" t="str">
        <v>D:/R/R-4.5.2/library</v>
      </c>
      <c r="K320" t="str">
        <v>Using 'Mathjax' in Rd Files</v>
      </c>
    </row>
    <row r="321" spans="9:11" x14ac:dyDescent="0.3">
      <c r="I321" t="str">
        <v>Matrix</v>
      </c>
      <c r="J321" t="str">
        <v>D:/R/R-4.5.2/library</v>
      </c>
      <c r="K321" t="str">
        <v>Sparse and Dense Matrix Classes and Methods</v>
      </c>
    </row>
    <row r="322" spans="9:11" x14ac:dyDescent="0.3">
      <c r="I322" t="str">
        <v>MatrixModels</v>
      </c>
      <c r="J322" t="str">
        <v>D:/R/R-4.5.2/library</v>
      </c>
      <c r="K322" t="str">
        <v>Modelling with Sparse and Dense Matrices</v>
      </c>
    </row>
    <row r="323" spans="9:11" x14ac:dyDescent="0.3">
      <c r="I323" t="str">
        <v>matrixStats</v>
      </c>
      <c r="J323" t="str">
        <v>D:/R/R-4.5.2/library</v>
      </c>
      <c r="K323" t="str">
        <v>Functions that Apply to Rows and Columns of Matrices (and to
Vectors)</v>
      </c>
    </row>
    <row r="324" spans="9:11" x14ac:dyDescent="0.3">
      <c r="I324" t="str">
        <v>maxstat</v>
      </c>
      <c r="J324" t="str">
        <v>D:/R/R-4.5.2/library</v>
      </c>
      <c r="K324" t="str">
        <v>Maximally Selected Rank Statistics</v>
      </c>
    </row>
    <row r="325" spans="9:11" x14ac:dyDescent="0.3">
      <c r="I325" t="str">
        <v>mclust</v>
      </c>
      <c r="J325" t="str">
        <v>D:/R/R-4.5.2/library</v>
      </c>
      <c r="K325" t="str">
        <v>Gaussian Mixture Modelling for Model-Based Clustering,
Classification, and Density Estimation</v>
      </c>
    </row>
    <row r="326" spans="9:11" x14ac:dyDescent="0.3">
      <c r="I326" t="str">
        <v>mco</v>
      </c>
      <c r="J326" t="str">
        <v>D:/R/R-4.5.2/library</v>
      </c>
      <c r="K326" t="str">
        <v>Multiple Criteria Optimization Algorithms and Related Functions</v>
      </c>
    </row>
    <row r="327" spans="9:11" x14ac:dyDescent="0.3">
      <c r="I327" t="str">
        <v>memoise</v>
      </c>
      <c r="J327" t="str">
        <v>D:/R/R-4.5.2/library</v>
      </c>
      <c r="K327" t="str">
        <v>'Memoisation' of Functions</v>
      </c>
    </row>
    <row r="328" spans="9:11" x14ac:dyDescent="0.3">
      <c r="I328" t="str">
        <v>methods</v>
      </c>
      <c r="J328" t="str">
        <v>D:/R/R-4.5.2/library</v>
      </c>
      <c r="K328" t="str">
        <v>Formal Methods and Classes</v>
      </c>
    </row>
    <row r="329" spans="9:11" x14ac:dyDescent="0.3">
      <c r="I329" t="str">
        <v>mgcv</v>
      </c>
      <c r="J329" t="str">
        <v>D:/R/R-4.5.2/library</v>
      </c>
      <c r="K329" t="str">
        <v>Mixed GAM Computation Vehicle with Automatic Smoothness
Estimation</v>
      </c>
    </row>
    <row r="330" spans="9:11" x14ac:dyDescent="0.3">
      <c r="I330" t="str">
        <v>mice</v>
      </c>
      <c r="J330" t="str">
        <v>D:/R/R-4.5.2/library</v>
      </c>
      <c r="K330" t="str">
        <v>Multivariate Imputation by Chained Equations</v>
      </c>
    </row>
    <row r="331" spans="9:11" x14ac:dyDescent="0.3">
      <c r="I331" t="str">
        <v>microbenchmark</v>
      </c>
      <c r="J331" t="str">
        <v>D:/R/R-4.5.2/library</v>
      </c>
      <c r="K331" t="str">
        <v>Accurate Timing Functions</v>
      </c>
    </row>
    <row r="332" spans="9:11" x14ac:dyDescent="0.3">
      <c r="I332" t="str">
        <v>mime</v>
      </c>
      <c r="J332" t="str">
        <v>D:/R/R-4.5.2/library</v>
      </c>
      <c r="K332" t="str">
        <v>Map Filenames to MIME Types</v>
      </c>
    </row>
    <row r="333" spans="9:11" x14ac:dyDescent="0.3">
      <c r="I333" t="str">
        <v>miniUI</v>
      </c>
      <c r="J333" t="str">
        <v>D:/R/R-4.5.2/library</v>
      </c>
      <c r="K333" t="str">
        <v>Shiny UI Widgets for Small Screens</v>
      </c>
    </row>
    <row r="334" spans="9:11" x14ac:dyDescent="0.3">
      <c r="I334" t="str">
        <v>minqa</v>
      </c>
      <c r="J334" t="str">
        <v>D:/R/R-4.5.2/library</v>
      </c>
      <c r="K334" t="str">
        <v>Derivative-Free Optimization Algorithms by Quadratic
Approximation</v>
      </c>
    </row>
    <row r="335" spans="9:11" x14ac:dyDescent="0.3">
      <c r="I335" t="str">
        <v>minty</v>
      </c>
      <c r="J335" t="str">
        <v>D:/R/R-4.5.2/library</v>
      </c>
      <c r="K335" t="str">
        <v>Minimal Type Guesser</v>
      </c>
    </row>
    <row r="336" spans="9:11" x14ac:dyDescent="0.3">
      <c r="I336" t="str">
        <v>mirai</v>
      </c>
      <c r="J336" t="str">
        <v>D:/R/R-4.5.2/library</v>
      </c>
      <c r="K336" t="str">
        <v>Minimalist Async Evaluation Framework for R</v>
      </c>
    </row>
    <row r="337" spans="9:11" x14ac:dyDescent="0.3">
      <c r="I337" t="str">
        <v>missForest</v>
      </c>
      <c r="J337" t="str">
        <v>D:/R/R-4.5.2/library</v>
      </c>
      <c r="K337" t="str">
        <v>Nonparametric Missing Value Imputation using Random Forest</v>
      </c>
    </row>
    <row r="338" spans="9:11" x14ac:dyDescent="0.3">
      <c r="I338" t="str">
        <v>mitml</v>
      </c>
      <c r="J338" t="str">
        <v>D:/R/R-4.5.2/library</v>
      </c>
      <c r="K338" t="str">
        <v>Tools for Multiple Imputation in Multilevel Modeling</v>
      </c>
    </row>
    <row r="339" spans="9:11" x14ac:dyDescent="0.3">
      <c r="I339" t="str">
        <v>mitools</v>
      </c>
      <c r="J339" t="str">
        <v>D:/R/R-4.5.2/library</v>
      </c>
      <c r="K339" t="str">
        <v>Tools for Multiple Imputation of Missing Data</v>
      </c>
    </row>
    <row r="340" spans="9:11" x14ac:dyDescent="0.3">
      <c r="I340" t="str">
        <v>mixopt</v>
      </c>
      <c r="J340" t="str">
        <v>D:/R/R-4.5.2/library</v>
      </c>
      <c r="K340" t="str">
        <v>Mixed Variable Optimization</v>
      </c>
    </row>
    <row r="341" spans="9:11" x14ac:dyDescent="0.3">
      <c r="I341" t="str">
        <v>MKmisc</v>
      </c>
      <c r="J341" t="str">
        <v>D:/R/R-4.5.2/library</v>
      </c>
      <c r="K341" t="str">
        <v>Miscellaneous Functions from M. Kohl</v>
      </c>
    </row>
    <row r="342" spans="9:11" x14ac:dyDescent="0.3">
      <c r="I342" t="str">
        <v>mlbench</v>
      </c>
      <c r="J342" t="str">
        <v>D:/R/R-4.5.2/library</v>
      </c>
      <c r="K342" t="str">
        <v>Machine Learning Benchmark Problems</v>
      </c>
    </row>
    <row r="343" spans="9:11" x14ac:dyDescent="0.3">
      <c r="I343" t="str">
        <v>mlogit</v>
      </c>
      <c r="J343" t="str">
        <v>D:/R/R-4.5.2/library</v>
      </c>
      <c r="K343" t="str">
        <v>Multinomial Logit Models</v>
      </c>
    </row>
    <row r="344" spans="9:11" x14ac:dyDescent="0.3">
      <c r="I344" t="str">
        <v>mlr3</v>
      </c>
      <c r="J344" t="str">
        <v>D:/R/R-4.5.2/library</v>
      </c>
      <c r="K344" t="str">
        <v>Machine Learning in R - Next Generation</v>
      </c>
    </row>
    <row r="345" spans="9:11" x14ac:dyDescent="0.3">
      <c r="I345" t="str">
        <v>mlr3learners</v>
      </c>
      <c r="J345" t="str">
        <v>D:/R/R-4.5.2/library</v>
      </c>
      <c r="K345" t="str">
        <v>Recommended Learners for 'mlr3'</v>
      </c>
    </row>
    <row r="346" spans="9:11" x14ac:dyDescent="0.3">
      <c r="I346" t="str">
        <v>mlr3measures</v>
      </c>
      <c r="J346" t="str">
        <v>D:/R/R-4.5.2/library</v>
      </c>
      <c r="K346" t="str">
        <v>Performance Measures for 'mlr3'</v>
      </c>
    </row>
    <row r="347" spans="9:11" x14ac:dyDescent="0.3">
      <c r="I347" t="str">
        <v>mlr3misc</v>
      </c>
      <c r="J347" t="str">
        <v>D:/R/R-4.5.2/library</v>
      </c>
      <c r="K347" t="str">
        <v>Helper Functions for 'mlr3'</v>
      </c>
    </row>
    <row r="348" spans="9:11" x14ac:dyDescent="0.3">
      <c r="I348" t="str">
        <v>mlr3pipelines</v>
      </c>
      <c r="J348" t="str">
        <v>D:/R/R-4.5.2/library</v>
      </c>
      <c r="K348" t="str">
        <v>Preprocessing Operators and Pipelines for 'mlr3'</v>
      </c>
    </row>
    <row r="349" spans="9:11" x14ac:dyDescent="0.3">
      <c r="I349" t="str">
        <v>mlr3tuning</v>
      </c>
      <c r="J349" t="str">
        <v>D:/R/R-4.5.2/library</v>
      </c>
      <c r="K349" t="str">
        <v>Hyperparameter Optimization for 'mlr3'</v>
      </c>
    </row>
    <row r="350" spans="9:11" x14ac:dyDescent="0.3">
      <c r="I350" t="str">
        <v>mnormt</v>
      </c>
      <c r="J350" t="str">
        <v>D:/R/R-4.5.2/library</v>
      </c>
      <c r="K350" t="str">
        <v>The Multivariate Normal and t Distributions, and Their Truncated
Versions</v>
      </c>
    </row>
    <row r="351" spans="9:11" x14ac:dyDescent="0.3">
      <c r="I351" t="str">
        <v>modeldata</v>
      </c>
      <c r="J351" t="str">
        <v>D:/R/R-4.5.2/library</v>
      </c>
      <c r="K351" t="str">
        <v>Data Sets Useful for Modeling Examples</v>
      </c>
    </row>
    <row r="352" spans="9:11" x14ac:dyDescent="0.3">
      <c r="I352" t="str">
        <v>modelenv</v>
      </c>
      <c r="J352" t="str">
        <v>D:/R/R-4.5.2/library</v>
      </c>
      <c r="K352" t="str">
        <v>Provide Tools to Register Models for Use in 'tidymodels'</v>
      </c>
    </row>
    <row r="353" spans="9:11" x14ac:dyDescent="0.3">
      <c r="I353" t="str">
        <v>ModelMetrics</v>
      </c>
      <c r="J353" t="str">
        <v>D:/R/R-4.5.2/library</v>
      </c>
      <c r="K353" t="str">
        <v>Rapid Calculation of Model Metrics</v>
      </c>
    </row>
    <row r="354" spans="9:11" x14ac:dyDescent="0.3">
      <c r="I354" t="str">
        <v>modelr</v>
      </c>
      <c r="J354" t="str">
        <v>D:/R/R-4.5.2/library</v>
      </c>
      <c r="K354" t="str">
        <v>Modelling Functions that Work with the Pipe</v>
      </c>
    </row>
    <row r="355" spans="9:11" x14ac:dyDescent="0.3">
      <c r="I355" t="str">
        <v>modeltools</v>
      </c>
      <c r="J355" t="str">
        <v>D:/R/R-4.5.2/library</v>
      </c>
      <c r="K355" t="str">
        <v>Tools and Classes for Statistical Models</v>
      </c>
    </row>
    <row r="356" spans="9:11" x14ac:dyDescent="0.3">
      <c r="I356" t="str">
        <v>moments</v>
      </c>
      <c r="J356" t="str">
        <v>D:/R/R-4.5.2/library</v>
      </c>
      <c r="K356" t="str">
        <v>Moments, Cumulants, Skewness, Kurtosis and Related Tests</v>
      </c>
    </row>
    <row r="357" spans="9:11" x14ac:dyDescent="0.3">
      <c r="I357" t="str">
        <v>monomvn</v>
      </c>
      <c r="J357" t="str">
        <v>D:/R/R-4.5.2/library</v>
      </c>
      <c r="K357" t="str">
        <v>Estimation for MVN and Student-t Data with Monotone Missingness</v>
      </c>
    </row>
    <row r="358" spans="9:11" x14ac:dyDescent="0.3">
      <c r="I358" t="str">
        <v>multcomp</v>
      </c>
      <c r="J358" t="str">
        <v>D:/R/R-4.5.2/library</v>
      </c>
      <c r="K358" t="str">
        <v>Simultaneous Inference in General Parametric Models</v>
      </c>
    </row>
    <row r="359" spans="9:11" x14ac:dyDescent="0.3">
      <c r="I359" t="str">
        <v>multcompView</v>
      </c>
      <c r="J359" t="str">
        <v>D:/R/R-4.5.2/library</v>
      </c>
      <c r="K359" t="str">
        <v>Visualizations of Paired Comparisons</v>
      </c>
    </row>
    <row r="360" spans="9:11" x14ac:dyDescent="0.3">
      <c r="I360" t="str">
        <v>multicool</v>
      </c>
      <c r="J360" t="str">
        <v>D:/R/R-4.5.2/library</v>
      </c>
      <c r="K360" t="str">
        <v>Permutations of Multisets in Cool-Lex Order</v>
      </c>
    </row>
    <row r="361" spans="9:11" x14ac:dyDescent="0.3">
      <c r="I361" t="str">
        <v>munsell</v>
      </c>
      <c r="J361" t="str">
        <v>D:/R/R-4.5.2/library</v>
      </c>
      <c r="K361" t="str">
        <v>Utilities for Using Munsell Colours</v>
      </c>
    </row>
    <row r="362" spans="9:11" x14ac:dyDescent="0.3">
      <c r="I362" t="str">
        <v>MVN</v>
      </c>
      <c r="J362" t="str">
        <v>D:/R/R-4.5.2/library</v>
      </c>
      <c r="K362" t="str">
        <v>Multivariate Normality Tests</v>
      </c>
    </row>
    <row r="363" spans="9:11" x14ac:dyDescent="0.3">
      <c r="I363" t="str">
        <v>mvtnorm</v>
      </c>
      <c r="J363" t="str">
        <v>D:/R/R-4.5.2/library</v>
      </c>
      <c r="K363" t="str">
        <v>Multivariate Normal and t Distributions</v>
      </c>
    </row>
    <row r="364" spans="9:11" x14ac:dyDescent="0.3">
      <c r="I364" t="str">
        <v>naniar</v>
      </c>
      <c r="J364" t="str">
        <v>D:/R/R-4.5.2/library</v>
      </c>
      <c r="K364" t="str">
        <v>Data Structures, Summaries, and Visualisations for Missing Data</v>
      </c>
    </row>
    <row r="365" spans="9:11" x14ac:dyDescent="0.3">
      <c r="I365" t="str">
        <v>nanonext</v>
      </c>
      <c r="J365" t="str">
        <v>D:/R/R-4.5.2/library</v>
      </c>
      <c r="K365" t="str">
        <v>NNG (Nanomsg Next Gen) Lightweight Messaging Library</v>
      </c>
    </row>
    <row r="366" spans="9:11" x14ac:dyDescent="0.3">
      <c r="I366" t="str">
        <v>neuralnet</v>
      </c>
      <c r="J366" t="str">
        <v>D:/R/R-4.5.2/library</v>
      </c>
      <c r="K366" t="str">
        <v>Training of Neural Networks</v>
      </c>
    </row>
    <row r="367" spans="9:11" x14ac:dyDescent="0.3">
      <c r="I367" t="str">
        <v>NeuralNetTools</v>
      </c>
      <c r="J367" t="str">
        <v>D:/R/R-4.5.2/library</v>
      </c>
      <c r="K367" t="str">
        <v>Visualization and Analysis Tools for Neural Networks</v>
      </c>
    </row>
    <row r="368" spans="9:11" x14ac:dyDescent="0.3">
      <c r="I368" t="str">
        <v>nleqslv</v>
      </c>
      <c r="J368" t="str">
        <v>D:/R/R-4.5.2/library</v>
      </c>
      <c r="K368" t="str">
        <v>Solve Systems of Nonlinear Equations</v>
      </c>
    </row>
    <row r="369" spans="9:11" x14ac:dyDescent="0.3">
      <c r="I369" t="str">
        <v>nlme</v>
      </c>
      <c r="J369" t="str">
        <v>D:/R/R-4.5.2/library</v>
      </c>
      <c r="K369" t="str">
        <v>Linear and Nonlinear Mixed Effects Models</v>
      </c>
    </row>
    <row r="370" spans="9:11" x14ac:dyDescent="0.3">
      <c r="I370" t="str">
        <v>nloptr</v>
      </c>
      <c r="J370" t="str">
        <v>D:/R/R-4.5.2/library</v>
      </c>
      <c r="K370" t="str">
        <v>R Interface to NLopt</v>
      </c>
    </row>
    <row r="371" spans="9:11" x14ac:dyDescent="0.3">
      <c r="I371" t="str">
        <v>nnet</v>
      </c>
      <c r="J371" t="str">
        <v>D:/R/R-4.5.2/library</v>
      </c>
      <c r="K371" t="str">
        <v>Feed-Forward Neural Networks and Multinomial Log-Linear Models</v>
      </c>
    </row>
    <row r="372" spans="9:11" x14ac:dyDescent="0.3">
      <c r="I372" t="str">
        <v>norm</v>
      </c>
      <c r="J372" t="str">
        <v>D:/R/R-4.5.2/library</v>
      </c>
      <c r="K372" t="str">
        <v>Analysis of Multivariate Normal Datasets with Missing Values</v>
      </c>
    </row>
    <row r="373" spans="9:11" x14ac:dyDescent="0.3">
      <c r="I373" t="str">
        <v>normalize</v>
      </c>
      <c r="J373" t="str">
        <v>D:/R/R-4.5.2/library</v>
      </c>
      <c r="K373" t="str">
        <v>Centering and Scaling of Numeric Data</v>
      </c>
    </row>
    <row r="374" spans="9:11" x14ac:dyDescent="0.3">
      <c r="I374" t="str">
        <v>nortest</v>
      </c>
      <c r="J374" t="str">
        <v>D:/R/R-4.5.2/library</v>
      </c>
      <c r="K374" t="str">
        <v>Tests for Normality</v>
      </c>
    </row>
    <row r="375" spans="9:11" x14ac:dyDescent="0.3">
      <c r="I375" t="str">
        <v>np</v>
      </c>
      <c r="J375" t="str">
        <v>D:/R/R-4.5.2/library</v>
      </c>
      <c r="K375" t="str">
        <v>Nonparametric Kernel Smoothing Methods for Mixed Data Types</v>
      </c>
    </row>
    <row r="376" spans="9:11" x14ac:dyDescent="0.3">
      <c r="I376" t="str">
        <v>numbers</v>
      </c>
      <c r="J376" t="str">
        <v>D:/R/R-4.5.2/library</v>
      </c>
      <c r="K376" t="str">
        <v>Number-Theoretic Functions</v>
      </c>
    </row>
    <row r="377" spans="9:11" x14ac:dyDescent="0.3">
      <c r="I377" t="str">
        <v>numDeriv</v>
      </c>
      <c r="J377" t="str">
        <v>D:/R/R-4.5.2/library</v>
      </c>
      <c r="K377" t="str">
        <v>Accurate Numerical Derivatives</v>
      </c>
    </row>
    <row r="378" spans="9:11" x14ac:dyDescent="0.3">
      <c r="I378" t="str">
        <v>oddsratio</v>
      </c>
      <c r="J378" t="str">
        <v>D:/R/R-4.5.2/library</v>
      </c>
      <c r="K378" t="str">
        <v>Odds Ratio Calculation for GAM(M)s &amp; GLM(M)s</v>
      </c>
    </row>
    <row r="379" spans="9:11" x14ac:dyDescent="0.3">
      <c r="I379" t="str">
        <v>officer</v>
      </c>
      <c r="J379" t="str">
        <v>D:/R/R-4.5.2/library</v>
      </c>
      <c r="K379" t="str">
        <v>Manipulation of Microsoft Word and PowerPoint Documents</v>
      </c>
    </row>
    <row r="380" spans="9:11" x14ac:dyDescent="0.3">
      <c r="I380" t="str">
        <v>opdisDownsampling</v>
      </c>
      <c r="J380" t="str">
        <v>D:/R/R-4.5.2/library</v>
      </c>
      <c r="K380" t="str">
        <v>Optimal Distribution Preserving Down-Sampling of Bio-Medical
Data</v>
      </c>
    </row>
    <row r="381" spans="9:11" x14ac:dyDescent="0.3">
      <c r="I381" t="str">
        <v>openssl</v>
      </c>
      <c r="J381" t="str">
        <v>D:/R/R-4.5.2/library</v>
      </c>
      <c r="K381" t="str">
        <v>Toolkit for Encryption, Signatures and Certificates Based on
OpenSSL</v>
      </c>
    </row>
    <row r="382" spans="9:11" x14ac:dyDescent="0.3">
      <c r="I382" t="str">
        <v>openxlsx</v>
      </c>
      <c r="J382" t="str">
        <v>D:/R/R-4.5.2/library</v>
      </c>
      <c r="K382" t="str">
        <v>Read, Write and Edit xlsx Files</v>
      </c>
    </row>
    <row r="383" spans="9:11" x14ac:dyDescent="0.3">
      <c r="I383" t="str">
        <v>ordinal</v>
      </c>
      <c r="J383" t="str">
        <v>D:/R/R-4.5.2/library</v>
      </c>
      <c r="K383" t="str">
        <v>Regression Models for Ordinal Data</v>
      </c>
    </row>
    <row r="384" spans="9:11" x14ac:dyDescent="0.3">
      <c r="I384" t="str">
        <v>otel</v>
      </c>
      <c r="J384" t="str">
        <v>D:/R/R-4.5.2/library</v>
      </c>
      <c r="K384" t="str">
        <v>OpenTelemetry R API</v>
      </c>
    </row>
    <row r="385" spans="9:11" x14ac:dyDescent="0.3">
      <c r="I385" t="str">
        <v>outliers</v>
      </c>
      <c r="J385" t="str">
        <v>D:/R/R-4.5.2/library</v>
      </c>
      <c r="K385" t="str">
        <v>Tests for Outliers</v>
      </c>
    </row>
    <row r="386" spans="9:11" x14ac:dyDescent="0.3">
      <c r="I386" t="str">
        <v>pacman</v>
      </c>
      <c r="J386" t="str">
        <v>D:/R/R-4.5.2/library</v>
      </c>
      <c r="K386" t="str">
        <v>Package Management Tool</v>
      </c>
    </row>
    <row r="387" spans="9:11" x14ac:dyDescent="0.3">
      <c r="I387" t="str">
        <v>padr</v>
      </c>
      <c r="J387" t="str">
        <v>D:/R/R-4.5.2/library</v>
      </c>
      <c r="K387" t="str">
        <v>Quickly Get Datetime Data Ready for Analysis</v>
      </c>
    </row>
    <row r="388" spans="9:11" x14ac:dyDescent="0.3">
      <c r="I388" t="str">
        <v>palmerpenguins</v>
      </c>
      <c r="J388" t="str">
        <v>D:/R/R-4.5.2/library</v>
      </c>
      <c r="K388" t="str">
        <v>Palmer Archipelago (Antarctica) Penguin Data</v>
      </c>
    </row>
    <row r="389" spans="9:11" x14ac:dyDescent="0.3">
      <c r="I389" t="str">
        <v>pan</v>
      </c>
      <c r="J389" t="str">
        <v>D:/R/R-4.5.2/library</v>
      </c>
      <c r="K389" t="str">
        <v>Multiple Imputation for Multivariate Panel or Clustered Data</v>
      </c>
    </row>
    <row r="390" spans="9:11" x14ac:dyDescent="0.3">
      <c r="I390" t="str">
        <v>pander</v>
      </c>
      <c r="J390" t="str">
        <v>D:/R/R-4.5.2/library</v>
      </c>
      <c r="K390" t="str">
        <v>An R 'Pandoc' Writer</v>
      </c>
    </row>
    <row r="391" spans="9:11" x14ac:dyDescent="0.3">
      <c r="I391" t="str">
        <v>paradox</v>
      </c>
      <c r="J391" t="str">
        <v>D:/R/R-4.5.2/library</v>
      </c>
      <c r="K391" t="str">
        <v>Define and Work with Parameter Spaces for Complex Algorithms</v>
      </c>
    </row>
    <row r="392" spans="9:11" x14ac:dyDescent="0.3">
      <c r="I392" t="str">
        <v>parallel</v>
      </c>
      <c r="J392" t="str">
        <v>D:/R/R-4.5.2/library</v>
      </c>
      <c r="K392" t="str">
        <v>Support for Parallel Computation in R</v>
      </c>
    </row>
    <row r="393" spans="9:11" x14ac:dyDescent="0.3">
      <c r="I393" t="str">
        <v>parallelly</v>
      </c>
      <c r="J393" t="str">
        <v>D:/R/R-4.5.2/library</v>
      </c>
      <c r="K393" t="str">
        <v>Enhancing the 'parallel' Package</v>
      </c>
    </row>
    <row r="394" spans="9:11" x14ac:dyDescent="0.3">
      <c r="I394" t="str">
        <v>parameters</v>
      </c>
      <c r="J394" t="str">
        <v>D:/R/R-4.5.2/library</v>
      </c>
      <c r="K394" t="str">
        <v>Processing of Model Parameters</v>
      </c>
    </row>
    <row r="395" spans="9:11" x14ac:dyDescent="0.3">
      <c r="I395" t="str">
        <v>parsnip</v>
      </c>
      <c r="J395" t="str">
        <v>D:/R/R-4.5.2/library</v>
      </c>
      <c r="K395" t="str">
        <v>A Common API to Modeling and Analysis Functions</v>
      </c>
    </row>
    <row r="396" spans="9:11" x14ac:dyDescent="0.3">
      <c r="I396" t="str">
        <v>partitions</v>
      </c>
      <c r="J396" t="str">
        <v>D:/R/R-4.5.2/library</v>
      </c>
      <c r="K396" t="str">
        <v>Additive Partitions of Integers</v>
      </c>
    </row>
    <row r="397" spans="9:11" x14ac:dyDescent="0.3">
      <c r="I397" t="str">
        <v>party</v>
      </c>
      <c r="J397" t="str">
        <v>D:/R/R-4.5.2/library</v>
      </c>
      <c r="K397" t="str">
        <v>A Laboratory for Recursive Partytioning</v>
      </c>
    </row>
    <row r="398" spans="9:11" x14ac:dyDescent="0.3">
      <c r="I398" t="str">
        <v>partykit</v>
      </c>
      <c r="J398" t="str">
        <v>D:/R/R-4.5.2/library</v>
      </c>
      <c r="K398" t="str">
        <v>A Toolkit for Recursive Partytioning</v>
      </c>
    </row>
    <row r="399" spans="9:11" x14ac:dyDescent="0.3">
      <c r="I399" t="str">
        <v>pastecs</v>
      </c>
      <c r="J399" t="str">
        <v>D:/R/R-4.5.2/library</v>
      </c>
      <c r="K399" t="str">
        <v>Package for Analysis of Space-Time Ecological Series</v>
      </c>
    </row>
    <row r="400" spans="9:11" x14ac:dyDescent="0.3">
      <c r="I400" t="str">
        <v>patchwork</v>
      </c>
      <c r="J400" t="str">
        <v>D:/R/R-4.5.2/library</v>
      </c>
      <c r="K400" t="str">
        <v>The Composer of Plots</v>
      </c>
    </row>
    <row r="401" spans="9:11" x14ac:dyDescent="0.3">
      <c r="I401" t="str">
        <v>pbkrtest</v>
      </c>
      <c r="J401" t="str">
        <v>D:/R/R-4.5.2/library</v>
      </c>
      <c r="K401" t="str">
        <v>Parametric Bootstrap, Kenward-Roger and Satterthwaite Based
Methods for Test in Mixed Models</v>
      </c>
    </row>
    <row r="402" spans="9:11" x14ac:dyDescent="0.3">
      <c r="I402" t="str">
        <v>pbmcapply</v>
      </c>
      <c r="J402" t="str">
        <v>D:/R/R-4.5.2/library</v>
      </c>
      <c r="K402" t="str">
        <v>Tracking the Progress of Mc*pply with Progress Bar</v>
      </c>
    </row>
    <row r="403" spans="9:11" x14ac:dyDescent="0.3">
      <c r="I403" t="str">
        <v>pcaPP</v>
      </c>
      <c r="J403" t="str">
        <v>D:/R/R-4.5.2/library</v>
      </c>
      <c r="K403" t="str">
        <v>Robust PCA by Projection Pursuit</v>
      </c>
    </row>
    <row r="404" spans="9:11" x14ac:dyDescent="0.3">
      <c r="I404" t="str">
        <v>performance</v>
      </c>
      <c r="J404" t="str">
        <v>D:/R/R-4.5.2/library</v>
      </c>
      <c r="K404" t="str">
        <v>Assessment of Regression Models Performance</v>
      </c>
    </row>
    <row r="405" spans="9:11" x14ac:dyDescent="0.3">
      <c r="I405" t="str">
        <v>PerformanceAnalytics</v>
      </c>
      <c r="J405" t="str">
        <v>D:/R/R-4.5.2/library</v>
      </c>
      <c r="K405" t="str">
        <v>Econometric Tools for Performance and Risk Analysis</v>
      </c>
    </row>
    <row r="406" spans="9:11" x14ac:dyDescent="0.3">
      <c r="I406" t="str">
        <v>permute</v>
      </c>
      <c r="J406" t="str">
        <v>D:/R/R-4.5.2/library</v>
      </c>
      <c r="K406" t="str">
        <v>Functions for Generating Restricted Permutations of Data</v>
      </c>
    </row>
    <row r="407" spans="9:11" x14ac:dyDescent="0.3">
      <c r="I407" t="str">
        <v>pillar</v>
      </c>
      <c r="J407" t="str">
        <v>D:/R/R-4.5.2/library</v>
      </c>
      <c r="K407" t="str">
        <v>Coloured Formatting for Columns</v>
      </c>
    </row>
    <row r="408" spans="9:11" x14ac:dyDescent="0.3">
      <c r="I408" t="str">
        <v>pixmap</v>
      </c>
      <c r="J408" t="str">
        <v>D:/R/R-4.5.2/library</v>
      </c>
      <c r="K408" t="str">
        <v>Bitmap Images / Pixel Maps</v>
      </c>
    </row>
    <row r="409" spans="9:11" x14ac:dyDescent="0.3">
      <c r="I409" t="str">
        <v>pkgbuild</v>
      </c>
      <c r="J409" t="str">
        <v>D:/R/R-4.5.2/library</v>
      </c>
      <c r="K409" t="str">
        <v>Find Tools Needed to Build R Packages</v>
      </c>
    </row>
    <row r="410" spans="9:11" x14ac:dyDescent="0.3">
      <c r="I410" t="str">
        <v>pkgconfig</v>
      </c>
      <c r="J410" t="str">
        <v>D:/R/R-4.5.2/library</v>
      </c>
      <c r="K410" t="str">
        <v>Private Configuration for 'R' Packages</v>
      </c>
    </row>
    <row r="411" spans="9:11" x14ac:dyDescent="0.3">
      <c r="I411" t="str">
        <v>pkgdown</v>
      </c>
      <c r="J411" t="str">
        <v>D:/R/R-4.5.2/library</v>
      </c>
      <c r="K411" t="str">
        <v>Make Static HTML Documentation for a Package</v>
      </c>
    </row>
    <row r="412" spans="9:11" x14ac:dyDescent="0.3">
      <c r="I412" t="str">
        <v>pkgload</v>
      </c>
      <c r="J412" t="str">
        <v>D:/R/R-4.5.2/library</v>
      </c>
      <c r="K412" t="str">
        <v>Simulate Package Installation and Attach</v>
      </c>
    </row>
    <row r="413" spans="9:11" x14ac:dyDescent="0.3">
      <c r="I413" t="str">
        <v>plogr</v>
      </c>
      <c r="J413" t="str">
        <v>D:/R/R-4.5.2/library</v>
      </c>
      <c r="K413" t="str">
        <v>The 'plog' C++ Logging Library</v>
      </c>
    </row>
    <row r="414" spans="9:11" x14ac:dyDescent="0.3">
      <c r="I414" t="str">
        <v>plotly</v>
      </c>
      <c r="J414" t="str">
        <v>D:/R/R-4.5.2/library</v>
      </c>
      <c r="K414" t="str">
        <v>Create Interactive Web Graphics via 'plotly.js'</v>
      </c>
    </row>
    <row r="415" spans="9:11" x14ac:dyDescent="0.3">
      <c r="I415" t="str">
        <v>plotmo</v>
      </c>
      <c r="J415" t="str">
        <v>D:/R/R-4.5.2/library</v>
      </c>
      <c r="K415" t="str">
        <v>Plot a Model's Residuals, Response, and Partial Dependence Plots</v>
      </c>
    </row>
    <row r="416" spans="9:11" x14ac:dyDescent="0.3">
      <c r="I416" t="str">
        <v>plotrix</v>
      </c>
      <c r="J416" t="str">
        <v>D:/R/R-4.5.2/library</v>
      </c>
      <c r="K416" t="str">
        <v>Various Plotting Functions</v>
      </c>
    </row>
    <row r="417" spans="9:11" x14ac:dyDescent="0.3">
      <c r="I417" t="str">
        <v>pls</v>
      </c>
      <c r="J417" t="str">
        <v>D:/R/R-4.5.2/library</v>
      </c>
      <c r="K417" t="str">
        <v>Partial Least Squares and Principal Component Regression</v>
      </c>
    </row>
    <row r="418" spans="9:11" x14ac:dyDescent="0.3">
      <c r="I418" t="str">
        <v>plyr</v>
      </c>
      <c r="J418" t="str">
        <v>D:/R/R-4.5.2/library</v>
      </c>
      <c r="K418" t="str">
        <v>Tools for Splitting, Applying and Combining Data</v>
      </c>
    </row>
    <row r="419" spans="9:11" x14ac:dyDescent="0.3">
      <c r="I419" t="str">
        <v>png</v>
      </c>
      <c r="J419" t="str">
        <v>D:/R/R-4.5.2/library</v>
      </c>
      <c r="K419" t="str">
        <v>Read and write PNG images</v>
      </c>
    </row>
    <row r="420" spans="9:11" x14ac:dyDescent="0.3">
      <c r="I420" t="str">
        <v>polspline</v>
      </c>
      <c r="J420" t="str">
        <v>D:/R/R-4.5.2/library</v>
      </c>
      <c r="K420" t="str">
        <v>Polynomial Spline Routines</v>
      </c>
    </row>
    <row r="421" spans="9:11" x14ac:dyDescent="0.3">
      <c r="I421" t="str">
        <v>polyclip</v>
      </c>
      <c r="J421" t="str">
        <v>D:/R/R-4.5.2/library</v>
      </c>
      <c r="K421" t="str">
        <v>Polygon Clipping</v>
      </c>
    </row>
    <row r="422" spans="9:11" x14ac:dyDescent="0.3">
      <c r="I422" t="str">
        <v>polycor</v>
      </c>
      <c r="J422" t="str">
        <v>D:/R/R-4.5.2/library</v>
      </c>
      <c r="K422" t="str">
        <v>Polychoric and Polyserial Correlations</v>
      </c>
    </row>
    <row r="423" spans="9:11" x14ac:dyDescent="0.3">
      <c r="I423" t="str">
        <v>polynom</v>
      </c>
      <c r="J423" t="str">
        <v>D:/R/R-4.5.2/library</v>
      </c>
      <c r="K423" t="str">
        <v>A Collection of Functions to Implement a Class for Univariate
Polynomial Manipulations</v>
      </c>
    </row>
    <row r="424" spans="9:11" x14ac:dyDescent="0.3">
      <c r="I424" t="str">
        <v>PortfolioAnalytics</v>
      </c>
      <c r="J424" t="str">
        <v>D:/R/R-4.5.2/library</v>
      </c>
      <c r="K424" t="str">
        <v>Portfolio Analysis, Including Numerical Methods for Optimization
of Portfolios</v>
      </c>
    </row>
    <row r="425" spans="9:11" x14ac:dyDescent="0.3">
      <c r="I425" t="str">
        <v>posterior</v>
      </c>
      <c r="J425" t="str">
        <v>D:/R/R-4.5.2/library</v>
      </c>
      <c r="K425" t="str">
        <v>Tools for Working with Posterior Distributions</v>
      </c>
    </row>
    <row r="426" spans="9:11" x14ac:dyDescent="0.3">
      <c r="I426" t="str">
        <v>pracma</v>
      </c>
      <c r="J426" t="str">
        <v>D:/R/R-4.5.2/library</v>
      </c>
      <c r="K426" t="str">
        <v>Practical Numerical Math Functions</v>
      </c>
    </row>
    <row r="427" spans="9:11" x14ac:dyDescent="0.3">
      <c r="I427" t="str">
        <v>praise</v>
      </c>
      <c r="J427" t="str">
        <v>D:/R/R-4.5.2/library</v>
      </c>
      <c r="K427" t="str">
        <v>Praise Users</v>
      </c>
    </row>
    <row r="428" spans="9:11" x14ac:dyDescent="0.3">
      <c r="I428" t="str">
        <v>prettyunits</v>
      </c>
      <c r="J428" t="str">
        <v>D:/R/R-4.5.2/library</v>
      </c>
      <c r="K428" t="str">
        <v>Pretty, Human Readable Formatting of Quantities</v>
      </c>
    </row>
    <row r="429" spans="9:11" x14ac:dyDescent="0.3">
      <c r="I429" t="str">
        <v>pROC</v>
      </c>
      <c r="J429" t="str">
        <v>D:/R/R-4.5.2/library</v>
      </c>
      <c r="K429" t="str">
        <v>Display and Analyze ROC Curves</v>
      </c>
    </row>
    <row r="430" spans="9:11" x14ac:dyDescent="0.3">
      <c r="I430" t="str">
        <v>processx</v>
      </c>
      <c r="J430" t="str">
        <v>D:/R/R-4.5.2/library</v>
      </c>
      <c r="K430" t="str">
        <v>Execute and Control System Processes</v>
      </c>
    </row>
    <row r="431" spans="9:11" x14ac:dyDescent="0.3">
      <c r="I431" t="str">
        <v>prodlim</v>
      </c>
      <c r="J431" t="str">
        <v>D:/R/R-4.5.2/library</v>
      </c>
      <c r="K431" t="str">
        <v>Product-Limit Estimation for Censored Event History Analysis</v>
      </c>
    </row>
    <row r="432" spans="9:11" x14ac:dyDescent="0.3">
      <c r="I432" t="str">
        <v>profmem</v>
      </c>
      <c r="J432" t="str">
        <v>D:/R/R-4.5.2/library</v>
      </c>
      <c r="K432" t="str">
        <v>Simple Memory Profiling for R</v>
      </c>
    </row>
    <row r="433" spans="9:11" x14ac:dyDescent="0.3">
      <c r="I433" t="str">
        <v>profvis</v>
      </c>
      <c r="J433" t="str">
        <v>D:/R/R-4.5.2/library</v>
      </c>
      <c r="K433" t="str">
        <v>Interactive Visualizations for Profiling R Code</v>
      </c>
    </row>
    <row r="434" spans="9:11" x14ac:dyDescent="0.3">
      <c r="I434" t="str">
        <v>progress</v>
      </c>
      <c r="J434" t="str">
        <v>D:/R/R-4.5.2/library</v>
      </c>
      <c r="K434" t="str">
        <v>Terminal Progress Bars</v>
      </c>
    </row>
    <row r="435" spans="9:11" x14ac:dyDescent="0.3">
      <c r="I435" t="str">
        <v>progressr</v>
      </c>
      <c r="J435" t="str">
        <v>D:/R/R-4.5.2/library</v>
      </c>
      <c r="K435" t="str">
        <v>An Inclusive, Unifying API for Progress Updates</v>
      </c>
    </row>
    <row r="436" spans="9:11" x14ac:dyDescent="0.3">
      <c r="I436" t="str">
        <v>promises</v>
      </c>
      <c r="J436" t="str">
        <v>D:/R/R-4.5.2/library</v>
      </c>
      <c r="K436" t="str">
        <v>Abstractions for Promise-Based Asynchronous Programming</v>
      </c>
    </row>
    <row r="437" spans="9:11" x14ac:dyDescent="0.3">
      <c r="I437" t="str">
        <v>proxy</v>
      </c>
      <c r="J437" t="str">
        <v>D:/R/R-4.5.2/library</v>
      </c>
      <c r="K437" t="str">
        <v>Distance and Similarity Measures</v>
      </c>
    </row>
    <row r="438" spans="9:11" x14ac:dyDescent="0.3">
      <c r="I438" t="str">
        <v>PRROC</v>
      </c>
      <c r="J438" t="str">
        <v>D:/R/R-4.5.2/library</v>
      </c>
      <c r="K438" t="str">
        <v>Precision-Recall and ROC Curves for Weighted and Unweighted Data</v>
      </c>
    </row>
    <row r="439" spans="9:11" x14ac:dyDescent="0.3">
      <c r="I439" t="str">
        <v>pryr</v>
      </c>
      <c r="J439" t="str">
        <v>D:/R/R-4.5.2/library</v>
      </c>
      <c r="K439" t="str">
        <v>Tools for Computing on the Language</v>
      </c>
    </row>
    <row r="440" spans="9:11" x14ac:dyDescent="0.3">
      <c r="I440" t="str">
        <v>ps</v>
      </c>
      <c r="J440" t="str">
        <v>D:/R/R-4.5.2/library</v>
      </c>
      <c r="K440" t="str">
        <v>List, Query, Manipulate System Processes</v>
      </c>
    </row>
    <row r="441" spans="9:11" x14ac:dyDescent="0.3">
      <c r="I441" t="str">
        <v>pscl</v>
      </c>
      <c r="J441" t="str">
        <v>D:/R/R-4.5.2/library</v>
      </c>
      <c r="K441" t="str">
        <v>Political Science Computational Laboratory</v>
      </c>
    </row>
    <row r="442" spans="9:11" x14ac:dyDescent="0.3">
      <c r="I442" t="str">
        <v>pso</v>
      </c>
      <c r="J442" t="str">
        <v>D:/R/R-4.5.2/library</v>
      </c>
      <c r="K442" t="str">
        <v>Particle Swarm Optimization</v>
      </c>
    </row>
    <row r="443" spans="9:11" x14ac:dyDescent="0.3">
      <c r="I443" t="str">
        <v>psych</v>
      </c>
      <c r="J443" t="str">
        <v>D:/R/R-4.5.2/library</v>
      </c>
      <c r="K443" t="str">
        <v>Procedures for Psychological, Psychometric, and Personality
Research</v>
      </c>
    </row>
    <row r="444" spans="9:11" x14ac:dyDescent="0.3">
      <c r="I444" t="str">
        <v>purrr</v>
      </c>
      <c r="J444" t="str">
        <v>D:/R/R-4.5.2/library</v>
      </c>
      <c r="K444" t="str">
        <v>Functional Programming Tools</v>
      </c>
    </row>
    <row r="445" spans="9:11" x14ac:dyDescent="0.3">
      <c r="I445" t="str">
        <v>pwr</v>
      </c>
      <c r="J445" t="str">
        <v>D:/R/R-4.5.2/library</v>
      </c>
      <c r="K445" t="str">
        <v>Basic Functions for Power Analysis</v>
      </c>
    </row>
    <row r="446" spans="9:11" x14ac:dyDescent="0.3">
      <c r="I446" t="str">
        <v>pyinit</v>
      </c>
      <c r="J446" t="str">
        <v>D:/R/R-4.5.2/library</v>
      </c>
      <c r="K446" t="str">
        <v>Pena-Yohai Initial Estimator for Robust S-Regression</v>
      </c>
    </row>
    <row r="447" spans="9:11" x14ac:dyDescent="0.3">
      <c r="I447" t="str">
        <v>pzfx</v>
      </c>
      <c r="J447" t="str">
        <v>D:/R/R-4.5.2/library</v>
      </c>
      <c r="K447" t="str">
        <v>Read and Write 'GraphPad Prism' Files</v>
      </c>
    </row>
    <row r="448" spans="9:11" x14ac:dyDescent="0.3">
      <c r="I448" t="str">
        <v>qap</v>
      </c>
      <c r="J448" t="str">
        <v>D:/R/R-4.5.2/library</v>
      </c>
      <c r="K448" t="str">
        <v>Heuristics for the Quadratic Assignment Problem (QAP)</v>
      </c>
    </row>
    <row r="449" spans="9:11" x14ac:dyDescent="0.3">
      <c r="I449" t="str">
        <v>qcc</v>
      </c>
      <c r="J449" t="str">
        <v>D:/R/R-4.5.2/library</v>
      </c>
      <c r="K449" t="str">
        <v>Quality Control Charts</v>
      </c>
    </row>
    <row r="450" spans="9:11" x14ac:dyDescent="0.3">
      <c r="I450" t="str">
        <v>qqconf</v>
      </c>
      <c r="J450" t="str">
        <v>D:/R/R-4.5.2/library</v>
      </c>
      <c r="K450" t="str">
        <v>Creates Simultaneous Testing Bands for QQ-Plots</v>
      </c>
    </row>
    <row r="451" spans="9:11" x14ac:dyDescent="0.3">
      <c r="I451" t="str">
        <v>qqplotr</v>
      </c>
      <c r="J451" t="str">
        <v>D:/R/R-4.5.2/library</v>
      </c>
      <c r="K451" t="str">
        <v>Quantile-Quantile Plot Extensions for 'ggplot2'</v>
      </c>
    </row>
    <row r="452" spans="9:11" x14ac:dyDescent="0.3">
      <c r="I452" t="str">
        <v>quadprog</v>
      </c>
      <c r="J452" t="str">
        <v>D:/R/R-4.5.2/library</v>
      </c>
      <c r="K452" t="str">
        <v>Functions to Solve Quadratic Programming Problems</v>
      </c>
    </row>
    <row r="453" spans="9:11" x14ac:dyDescent="0.3">
      <c r="I453" t="str">
        <v>Quandl</v>
      </c>
      <c r="J453" t="str">
        <v>D:/R/R-4.5.2/library</v>
      </c>
      <c r="K453" t="str">
        <v>API Wrapper for Quandl.com</v>
      </c>
    </row>
    <row r="454" spans="9:11" x14ac:dyDescent="0.3">
      <c r="I454" t="str">
        <v>quantmod</v>
      </c>
      <c r="J454" t="str">
        <v>D:/R/R-4.5.2/library</v>
      </c>
      <c r="K454" t="str">
        <v>Quantitative Financial Modelling Framework</v>
      </c>
    </row>
    <row r="455" spans="9:11" x14ac:dyDescent="0.3">
      <c r="I455" t="str">
        <v>quantreg</v>
      </c>
      <c r="J455" t="str">
        <v>D:/R/R-4.5.2/library</v>
      </c>
      <c r="K455" t="str">
        <v>Quantile Regression</v>
      </c>
    </row>
    <row r="456" spans="9:11" x14ac:dyDescent="0.3">
      <c r="I456" t="str">
        <v>questionr</v>
      </c>
      <c r="J456" t="str">
        <v>D:/R/R-4.5.2/library</v>
      </c>
      <c r="K456" t="str">
        <v>Functions to Make Surveys Processing Easier</v>
      </c>
    </row>
    <row r="457" spans="9:11" x14ac:dyDescent="0.3">
      <c r="I457" t="str">
        <v>QuickJSR</v>
      </c>
      <c r="J457" t="str">
        <v>D:/R/R-4.5.2/library</v>
      </c>
      <c r="K457" t="str">
        <v>Interface for the 'QuickJS-NG' Lightweight 'JavaScript' Engine</v>
      </c>
    </row>
    <row r="458" spans="9:11" x14ac:dyDescent="0.3">
      <c r="I458" t="str">
        <v>R.cache</v>
      </c>
      <c r="J458" t="str">
        <v>D:/R/R-4.5.2/library</v>
      </c>
      <c r="K458" t="str">
        <v>Fast and Light-Weight Caching (Memoization) of Objects and
Results to Speed Up Computations</v>
      </c>
    </row>
    <row r="459" spans="9:11" x14ac:dyDescent="0.3">
      <c r="I459" t="str">
        <v>R.methodsS3</v>
      </c>
      <c r="J459" t="str">
        <v>D:/R/R-4.5.2/library</v>
      </c>
      <c r="K459" t="str">
        <v>S3 Methods Simplified</v>
      </c>
    </row>
    <row r="460" spans="9:11" x14ac:dyDescent="0.3">
      <c r="I460" t="str">
        <v>R.oo</v>
      </c>
      <c r="J460" t="str">
        <v>D:/R/R-4.5.2/library</v>
      </c>
      <c r="K460" t="str">
        <v>R Object-Oriented Programming with or without References</v>
      </c>
    </row>
    <row r="461" spans="9:11" x14ac:dyDescent="0.3">
      <c r="I461" t="str">
        <v>R.utils</v>
      </c>
      <c r="J461" t="str">
        <v>D:/R/R-4.5.2/library</v>
      </c>
      <c r="K461" t="str">
        <v>Various Programming Utilities</v>
      </c>
    </row>
    <row r="462" spans="9:11" x14ac:dyDescent="0.3">
      <c r="I462" t="str">
        <v>r2mlm</v>
      </c>
      <c r="J462" t="str">
        <v>D:/R/R-4.5.2/library</v>
      </c>
      <c r="K462" t="str">
        <v>R-Squared Measures for Multilevel Models</v>
      </c>
    </row>
    <row r="463" spans="9:11" x14ac:dyDescent="0.3">
      <c r="I463" t="str">
        <v>R6</v>
      </c>
      <c r="J463" t="str">
        <v>D:/R/R-4.5.2/library</v>
      </c>
      <c r="K463" t="str">
        <v>Encapsulated Classes with Reference Semantics</v>
      </c>
    </row>
    <row r="464" spans="9:11" x14ac:dyDescent="0.3">
      <c r="I464" t="str">
        <v>ragg</v>
      </c>
      <c r="J464" t="str">
        <v>D:/R/R-4.5.2/library</v>
      </c>
      <c r="K464" t="str">
        <v>Graphic Devices Based on AGG</v>
      </c>
    </row>
    <row r="465" spans="9:11" x14ac:dyDescent="0.3">
      <c r="I465" t="str">
        <v>rainbow</v>
      </c>
      <c r="J465" t="str">
        <v>D:/R/R-4.5.2/library</v>
      </c>
      <c r="K465" t="str">
        <v>Bagplots, Boxplots and Rainbow Plots for Functional Data</v>
      </c>
    </row>
    <row r="466" spans="9:11" x14ac:dyDescent="0.3">
      <c r="I466" t="str">
        <v>randomForest</v>
      </c>
      <c r="J466" t="str">
        <v>D:/R/R-4.5.2/library</v>
      </c>
      <c r="K466" t="str">
        <v>Breiman and Cutlers Random Forests for Classification and
Regression</v>
      </c>
    </row>
    <row r="467" spans="9:11" x14ac:dyDescent="0.3">
      <c r="I467" t="str">
        <v>ranger</v>
      </c>
      <c r="J467" t="str">
        <v>D:/R/R-4.5.2/library</v>
      </c>
      <c r="K467" t="str">
        <v>A Fast Implementation of Random Forests</v>
      </c>
    </row>
    <row r="468" spans="9:11" x14ac:dyDescent="0.3">
      <c r="I468" t="str">
        <v>rappdirs</v>
      </c>
      <c r="J468" t="str">
        <v>D:/R/R-4.5.2/library</v>
      </c>
      <c r="K468" t="str">
        <v>Application Directories: Determine Where to Save Data, Caches,
and Logs</v>
      </c>
    </row>
    <row r="469" spans="9:11" x14ac:dyDescent="0.3">
      <c r="I469" t="str">
        <v>rapportools</v>
      </c>
      <c r="J469" t="str">
        <v>D:/R/R-4.5.2/library</v>
      </c>
      <c r="K469" t="str">
        <v>Miscellaneous (Stats) Helper Functions with Sane Defaults for
Reporting</v>
      </c>
    </row>
    <row r="470" spans="9:11" x14ac:dyDescent="0.3">
      <c r="I470" t="str">
        <v>raster</v>
      </c>
      <c r="J470" t="str">
        <v>D:/R/R-4.5.2/library</v>
      </c>
      <c r="K470" t="str">
        <v>Geographic Data Analysis and Modeling</v>
      </c>
    </row>
    <row r="471" spans="9:11" x14ac:dyDescent="0.3">
      <c r="I471" t="str">
        <v>rbenchmark</v>
      </c>
      <c r="J471" t="str">
        <v>D:/R/R-4.5.2/library</v>
      </c>
      <c r="K471" t="str">
        <v>Benchmarking routine for R</v>
      </c>
    </row>
    <row r="472" spans="9:11" x14ac:dyDescent="0.3">
      <c r="I472" t="str">
        <v>rbibutils</v>
      </c>
      <c r="J472" t="str">
        <v>D:/R/R-4.5.2/library</v>
      </c>
      <c r="K472" t="str">
        <v>Read 'Bibtex' Files and Convert Between Bibliography Formats</v>
      </c>
    </row>
    <row r="473" spans="9:11" x14ac:dyDescent="0.3">
      <c r="I473" t="str">
        <v>rcmdcheck</v>
      </c>
      <c r="J473" t="str">
        <v>D:/R/R-4.5.2/library</v>
      </c>
      <c r="K473" t="str">
        <v>Run 'R CMD check' from 'R' and Capture Results</v>
      </c>
    </row>
    <row r="474" spans="9:11" x14ac:dyDescent="0.3">
      <c r="I474" t="str">
        <v>RcmdrMisc</v>
      </c>
      <c r="J474" t="str">
        <v>D:/R/R-4.5.2/library</v>
      </c>
      <c r="K474" t="str">
        <v>R Commander Miscellaneous Functions</v>
      </c>
    </row>
    <row r="475" spans="9:11" x14ac:dyDescent="0.3">
      <c r="I475" t="str">
        <v>RColorBrewer</v>
      </c>
      <c r="J475" t="str">
        <v>D:/R/R-4.5.2/library</v>
      </c>
      <c r="K475" t="str">
        <v>ColorBrewer Palettes</v>
      </c>
    </row>
    <row r="476" spans="9:11" x14ac:dyDescent="0.3">
      <c r="I476" t="str">
        <v>rcompanion</v>
      </c>
      <c r="J476" t="str">
        <v>D:/R/R-4.5.2/library</v>
      </c>
      <c r="K476" t="str">
        <v>Functions to Support Extension Education Program Evaluation</v>
      </c>
    </row>
    <row r="477" spans="9:11" x14ac:dyDescent="0.3">
      <c r="I477" t="str">
        <v>Rcpp</v>
      </c>
      <c r="J477" t="str">
        <v>D:/R/R-4.5.2/library</v>
      </c>
      <c r="K477" t="str">
        <v>Seamless R and C++ Integration</v>
      </c>
    </row>
    <row r="478" spans="9:11" x14ac:dyDescent="0.3">
      <c r="I478" t="str">
        <v>RcppArmadillo</v>
      </c>
      <c r="J478" t="str">
        <v>D:/R/R-4.5.2/library</v>
      </c>
      <c r="K478" t="str">
        <v>'Rcpp' Integration for the 'Armadillo' Templated Linear Algebra
Library</v>
      </c>
    </row>
    <row r="479" spans="9:11" x14ac:dyDescent="0.3">
      <c r="I479" t="str">
        <v>RcppEigen</v>
      </c>
      <c r="J479" t="str">
        <v>D:/R/R-4.5.2/library</v>
      </c>
      <c r="K479" t="str">
        <v>'Rcpp' Integration for the 'Eigen' Templated Linear Algebra
Library</v>
      </c>
    </row>
    <row r="480" spans="9:11" x14ac:dyDescent="0.3">
      <c r="I480" t="str">
        <v>RcppParallel</v>
      </c>
      <c r="J480" t="str">
        <v>D:/R/R-4.5.2/library</v>
      </c>
      <c r="K480" t="str">
        <v>Parallel Programming Tools for 'Rcpp'</v>
      </c>
    </row>
    <row r="481" spans="9:11" x14ac:dyDescent="0.3">
      <c r="I481" t="str">
        <v>RcppRoll</v>
      </c>
      <c r="J481" t="str">
        <v>D:/R/R-4.5.2/library</v>
      </c>
      <c r="K481" t="str">
        <v>Efficient Rolling / Windowed Operations</v>
      </c>
    </row>
    <row r="482" spans="9:11" x14ac:dyDescent="0.3">
      <c r="I482" t="str">
        <v>RcppTOML</v>
      </c>
      <c r="J482" t="str">
        <v>D:/R/R-4.5.2/library</v>
      </c>
      <c r="K482" t="str">
        <v>'Rcpp' Bindings to Parser for "Tom's Obvious Markup Language"</v>
      </c>
    </row>
    <row r="483" spans="9:11" x14ac:dyDescent="0.3">
      <c r="I483" t="str">
        <v>RCurl</v>
      </c>
      <c r="J483" t="str">
        <v>D:/R/R-4.5.2/library</v>
      </c>
      <c r="K483" t="str">
        <v>General Network (HTTP/FTP/...) Client Interface for R</v>
      </c>
    </row>
    <row r="484" spans="9:11" x14ac:dyDescent="0.3">
      <c r="I484" t="str">
        <v>Rdpack</v>
      </c>
      <c r="J484" t="str">
        <v>D:/R/R-4.5.2/library</v>
      </c>
      <c r="K484" t="str">
        <v>Update and Manipulate Rd Documentation Objects</v>
      </c>
    </row>
    <row r="485" spans="9:11" x14ac:dyDescent="0.3">
      <c r="I485" t="str">
        <v>readODS</v>
      </c>
      <c r="J485" t="str">
        <v>D:/R/R-4.5.2/library</v>
      </c>
      <c r="K485" t="str">
        <v>Read and Write ODS Files</v>
      </c>
    </row>
    <row r="486" spans="9:11" x14ac:dyDescent="0.3">
      <c r="I486" t="str">
        <v>readr</v>
      </c>
      <c r="J486" t="str">
        <v>D:/R/R-4.5.2/library</v>
      </c>
      <c r="K486" t="str">
        <v>Read Rectangular Text Data</v>
      </c>
    </row>
    <row r="487" spans="9:11" x14ac:dyDescent="0.3">
      <c r="I487" t="str">
        <v>readstata13</v>
      </c>
      <c r="J487" t="str">
        <v>D:/R/R-4.5.2/library</v>
      </c>
      <c r="K487" t="str">
        <v>Import 'Stata' Data Files</v>
      </c>
    </row>
    <row r="488" spans="9:11" x14ac:dyDescent="0.3">
      <c r="I488" t="str">
        <v>readxl</v>
      </c>
      <c r="J488" t="str">
        <v>D:/R/R-4.5.2/library</v>
      </c>
      <c r="K488" t="str">
        <v>Read Excel Files</v>
      </c>
    </row>
    <row r="489" spans="9:11" x14ac:dyDescent="0.3">
      <c r="I489" t="str">
        <v>recipes</v>
      </c>
      <c r="J489" t="str">
        <v>D:/R/R-4.5.2/library</v>
      </c>
      <c r="K489" t="str">
        <v>Preprocessing and Feature Engineering Steps for Modeling</v>
      </c>
    </row>
    <row r="490" spans="9:11" x14ac:dyDescent="0.3">
      <c r="I490" t="str">
        <v>reformulas</v>
      </c>
      <c r="J490" t="str">
        <v>D:/R/R-4.5.2/library</v>
      </c>
      <c r="K490" t="str">
        <v>Machinery for Processing Random Effect Formulas</v>
      </c>
    </row>
    <row r="491" spans="9:11" x14ac:dyDescent="0.3">
      <c r="I491" t="str">
        <v>reghelper</v>
      </c>
      <c r="J491" t="str">
        <v>D:/R/R-4.5.2/library</v>
      </c>
      <c r="K491" t="str">
        <v>Helper Functions for Regression Analysis</v>
      </c>
    </row>
    <row r="492" spans="9:11" x14ac:dyDescent="0.3">
      <c r="I492" t="str">
        <v>registry</v>
      </c>
      <c r="J492" t="str">
        <v>D:/R/R-4.5.2/library</v>
      </c>
      <c r="K492" t="str">
        <v>Infrastructure for R Package Registries</v>
      </c>
    </row>
    <row r="493" spans="9:11" x14ac:dyDescent="0.3">
      <c r="I493" t="str">
        <v>rematch</v>
      </c>
      <c r="J493" t="str">
        <v>D:/R/R-4.5.2/library</v>
      </c>
      <c r="K493" t="str">
        <v>Match Regular Expressions with a Nicer 'API'</v>
      </c>
    </row>
    <row r="494" spans="9:11" x14ac:dyDescent="0.3">
      <c r="I494" t="str">
        <v>rematch2</v>
      </c>
      <c r="J494" t="str">
        <v>D:/R/R-4.5.2/library</v>
      </c>
      <c r="K494" t="str">
        <v>Tidy Output from Regular Expression Matching</v>
      </c>
    </row>
    <row r="495" spans="9:11" x14ac:dyDescent="0.3">
      <c r="I495" t="str">
        <v>remotes</v>
      </c>
      <c r="J495" t="str">
        <v>D:/R/R-4.5.2/library</v>
      </c>
      <c r="K495" t="str">
        <v>R Package Installation from Remote Repositories, Including
'GitHub'</v>
      </c>
    </row>
    <row r="496" spans="9:11" x14ac:dyDescent="0.3">
      <c r="I496" t="str">
        <v>reprex</v>
      </c>
      <c r="J496" t="str">
        <v>D:/R/R-4.5.2/library</v>
      </c>
      <c r="K496" t="str">
        <v>Prepare Reproducible Example Code via the Clipboard</v>
      </c>
    </row>
    <row r="497" spans="9:11" x14ac:dyDescent="0.3">
      <c r="I497" t="str">
        <v>reshape</v>
      </c>
      <c r="J497" t="str">
        <v>D:/R/R-4.5.2/library</v>
      </c>
      <c r="K497" t="str">
        <v>Flexibly Reshape Data</v>
      </c>
    </row>
    <row r="498" spans="9:11" x14ac:dyDescent="0.3">
      <c r="I498" t="str">
        <v>reshape2</v>
      </c>
      <c r="J498" t="str">
        <v>D:/R/R-4.5.2/library</v>
      </c>
      <c r="K498" t="str">
        <v>Flexibly Reshape Data: A Reboot of the Reshape Package</v>
      </c>
    </row>
    <row r="499" spans="9:11" x14ac:dyDescent="0.3">
      <c r="I499" t="str">
        <v>reticulate</v>
      </c>
      <c r="J499" t="str">
        <v>D:/R/R-4.5.2/library</v>
      </c>
      <c r="K499" t="str">
        <v>Interface to 'Python'</v>
      </c>
    </row>
    <row r="500" spans="9:11" x14ac:dyDescent="0.3">
      <c r="I500" t="str">
        <v>rex</v>
      </c>
      <c r="J500" t="str">
        <v>D:/R/R-4.5.2/library</v>
      </c>
      <c r="K500" t="str">
        <v>Friendly Regular Expressions</v>
      </c>
    </row>
    <row r="501" spans="9:11" x14ac:dyDescent="0.3">
      <c r="I501" t="str">
        <v>rgl</v>
      </c>
      <c r="J501" t="str">
        <v>D:/R/R-4.5.2/library</v>
      </c>
      <c r="K501" t="str">
        <v>3D Visualization Using OpenGL</v>
      </c>
    </row>
    <row r="502" spans="9:11" x14ac:dyDescent="0.3">
      <c r="I502" t="str">
        <v>Rglpk</v>
      </c>
      <c r="J502" t="str">
        <v>D:/R/R-4.5.2/library</v>
      </c>
      <c r="K502" t="str">
        <v>R/GNU Linear Programming Kit Interface</v>
      </c>
    </row>
    <row r="503" spans="9:11" x14ac:dyDescent="0.3">
      <c r="I503" t="str">
        <v>RgoogleMaps</v>
      </c>
      <c r="J503" t="str">
        <v>D:/R/R-4.5.2/library</v>
      </c>
      <c r="K503" t="str">
        <v>Overlays on Static Maps</v>
      </c>
    </row>
    <row r="504" spans="9:11" x14ac:dyDescent="0.3">
      <c r="I504" t="str">
        <v>riingo</v>
      </c>
      <c r="J504" t="str">
        <v>D:/R/R-4.5.2/library</v>
      </c>
      <c r="K504" t="str">
        <v>An R Interface to the 'Tiingo' Stock Price API</v>
      </c>
    </row>
    <row r="505" spans="9:11" x14ac:dyDescent="0.3">
      <c r="I505" t="str">
        <v>rio</v>
      </c>
      <c r="J505" t="str">
        <v>D:/R/R-4.5.2/library</v>
      </c>
      <c r="K505" t="str">
        <v>A Swiss-Army Knife for Data I/O</v>
      </c>
    </row>
    <row r="506" spans="9:11" x14ac:dyDescent="0.3">
      <c r="I506" t="str">
        <v>rJava</v>
      </c>
      <c r="J506" t="str">
        <v>D:/R/R-4.5.2/library</v>
      </c>
      <c r="K506" t="str">
        <v>Low-Level R to Java Interface</v>
      </c>
    </row>
    <row r="507" spans="9:11" x14ac:dyDescent="0.3">
      <c r="I507" t="str">
        <v>RJDBC</v>
      </c>
      <c r="J507" t="str">
        <v>D:/R/R-4.5.2/library</v>
      </c>
      <c r="K507" t="str">
        <v>Provides Access to Databases Through the JDBC Interface</v>
      </c>
    </row>
    <row r="508" spans="9:11" x14ac:dyDescent="0.3">
      <c r="I508" t="str">
        <v>rjson</v>
      </c>
      <c r="J508" t="str">
        <v>D:/R/R-4.5.2/library</v>
      </c>
      <c r="K508" t="str">
        <v>JSON for R</v>
      </c>
    </row>
    <row r="509" spans="9:11" x14ac:dyDescent="0.3">
      <c r="I509" t="str">
        <v>RJSONIO</v>
      </c>
      <c r="J509" t="str">
        <v>D:/R/R-4.5.2/library</v>
      </c>
      <c r="K509" t="str">
        <v>Serialize R Objects to JSON, JavaScript Object Notation</v>
      </c>
    </row>
    <row r="510" spans="9:11" x14ac:dyDescent="0.3">
      <c r="I510" t="str">
        <v>rlang</v>
      </c>
      <c r="J510" t="str">
        <v>D:/R/R-4.5.2/library</v>
      </c>
      <c r="K510" t="str">
        <v>Functions for Base Types and Core R and 'Tidyverse' Features</v>
      </c>
    </row>
    <row r="511" spans="9:11" x14ac:dyDescent="0.3">
      <c r="I511" t="str">
        <v>rmarkdown</v>
      </c>
      <c r="J511" t="str">
        <v>D:/R/R-4.5.2/library</v>
      </c>
      <c r="K511" t="str">
        <v>Dynamic Documents for R</v>
      </c>
    </row>
    <row r="512" spans="9:11" x14ac:dyDescent="0.3">
      <c r="I512" t="str">
        <v>rmatio</v>
      </c>
      <c r="J512" t="str">
        <v>D:/R/R-4.5.2/library</v>
      </c>
      <c r="K512" t="str">
        <v>Read and Write 'Matlab' Files</v>
      </c>
    </row>
    <row r="513" spans="9:11" x14ac:dyDescent="0.3">
      <c r="I513" t="str">
        <v>Rmisc</v>
      </c>
      <c r="J513" t="str">
        <v>D:/R/R-4.5.2/library</v>
      </c>
      <c r="K513" t="str">
        <v>Ryan Miscellaneous</v>
      </c>
    </row>
    <row r="514" spans="9:11" x14ac:dyDescent="0.3">
      <c r="I514" t="str">
        <v>Rmpfr</v>
      </c>
      <c r="J514" t="str">
        <v>D:/R/R-4.5.2/library</v>
      </c>
      <c r="K514" t="str">
        <v>Interface R to MPFR - Multiple Precision Floating-Point Reliable</v>
      </c>
    </row>
    <row r="515" spans="9:11" x14ac:dyDescent="0.3">
      <c r="I515" t="str">
        <v>rms</v>
      </c>
      <c r="J515" t="str">
        <v>D:/R/R-4.5.2/library</v>
      </c>
      <c r="K515" t="str">
        <v>Regression Modeling Strategies</v>
      </c>
    </row>
    <row r="516" spans="9:11" x14ac:dyDescent="0.3">
      <c r="I516" t="str">
        <v>RMySQL</v>
      </c>
      <c r="J516" t="str">
        <v>D:/R/R-4.5.2/library</v>
      </c>
      <c r="K516" t="str">
        <v>Database Interface and 'MySQL' Driver for R</v>
      </c>
    </row>
    <row r="517" spans="9:11" x14ac:dyDescent="0.3">
      <c r="I517" t="str">
        <v>rnaturalearth</v>
      </c>
      <c r="J517" t="str">
        <v>D:/R/R-4.5.2/library</v>
      </c>
      <c r="K517" t="str">
        <v>World Map Data from Natural Earth</v>
      </c>
    </row>
    <row r="518" spans="9:11" x14ac:dyDescent="0.3">
      <c r="I518" t="str">
        <v>rngtools</v>
      </c>
      <c r="J518" t="str">
        <v>D:/R/R-4.5.2/library</v>
      </c>
      <c r="K518" t="str">
        <v>Utility Functions for Working with Random Number Generators</v>
      </c>
    </row>
    <row r="519" spans="9:11" x14ac:dyDescent="0.3">
      <c r="I519" t="str">
        <v>RobStatTM</v>
      </c>
      <c r="J519" t="str">
        <v>D:/R/R-4.5.2/library</v>
      </c>
      <c r="K519" t="str">
        <v>Robust Statistics: Theory and Methods</v>
      </c>
    </row>
    <row r="520" spans="9:11" x14ac:dyDescent="0.3">
      <c r="I520" t="str">
        <v>robustbase</v>
      </c>
      <c r="J520" t="str">
        <v>D:/R/R-4.5.2/library</v>
      </c>
      <c r="K520" t="str">
        <v>Basic Robust Statistics</v>
      </c>
    </row>
    <row r="521" spans="9:11" x14ac:dyDescent="0.3">
      <c r="I521" t="str">
        <v>rockchalk</v>
      </c>
      <c r="J521" t="str">
        <v>D:/R/R-4.5.2/library</v>
      </c>
      <c r="K521" t="str">
        <v>Regression Estimation and Presentation</v>
      </c>
    </row>
    <row r="522" spans="9:11" x14ac:dyDescent="0.3">
      <c r="I522" t="str">
        <v>ROCR</v>
      </c>
      <c r="J522" t="str">
        <v>D:/R/R-4.5.2/library</v>
      </c>
      <c r="K522" t="str">
        <v>Visualizing the Performance of Scoring Classifiers</v>
      </c>
    </row>
    <row r="523" spans="9:11" x14ac:dyDescent="0.3">
      <c r="I523" t="str">
        <v>RODBC</v>
      </c>
      <c r="J523" t="str">
        <v>D:/R/R-4.5.2/library</v>
      </c>
      <c r="K523" t="str">
        <v>ODBC Database Access</v>
      </c>
    </row>
    <row r="524" spans="9:11" x14ac:dyDescent="0.3">
      <c r="I524" t="str">
        <v>RODBCDBI</v>
      </c>
      <c r="J524" t="str">
        <v>D:/R/R-4.5.2/library</v>
      </c>
      <c r="K524" t="str">
        <v>Provides Access to Databases Through the ODBC Interface</v>
      </c>
    </row>
    <row r="525" spans="9:11" x14ac:dyDescent="0.3">
      <c r="I525" t="str">
        <v>ROI</v>
      </c>
      <c r="J525" t="str">
        <v>D:/R/R-4.5.2/library</v>
      </c>
      <c r="K525" t="str">
        <v>R Optimization Infrastructure</v>
      </c>
    </row>
    <row r="526" spans="9:11" x14ac:dyDescent="0.3">
      <c r="I526" t="str">
        <v>ROI.plugin.glpk</v>
      </c>
      <c r="J526" t="str">
        <v>D:/R/R-4.5.2/library</v>
      </c>
      <c r="K526" t="str">
        <v>'ROI' Plug-in 'GLPK'</v>
      </c>
    </row>
    <row r="527" spans="9:11" x14ac:dyDescent="0.3">
      <c r="I527" t="str">
        <v>ROI.plugin.quadprog</v>
      </c>
      <c r="J527" t="str">
        <v>D:/R/R-4.5.2/library</v>
      </c>
      <c r="K527" t="str">
        <v>'quadprog' Plug-in for the 'R' Optimization Infrastructure</v>
      </c>
    </row>
    <row r="528" spans="9:11" x14ac:dyDescent="0.3">
      <c r="I528" t="str">
        <v>ROI.plugin.symphony</v>
      </c>
      <c r="J528" t="str">
        <v>D:/R/R-4.5.2/library</v>
      </c>
      <c r="K528" t="str">
        <v>'SYMPHONY' Plug-in for the 'R' Optimization Interface</v>
      </c>
    </row>
    <row r="529" spans="9:11" x14ac:dyDescent="0.3">
      <c r="I529" t="str">
        <v>rootSolve</v>
      </c>
      <c r="J529" t="str">
        <v>D:/R/R-4.5.2/library</v>
      </c>
      <c r="K529" t="str">
        <v>Nonlinear Root Finding, Equilibrium and Steady-State Analysis of
Ordinary Differential Equations</v>
      </c>
    </row>
    <row r="530" spans="9:11" x14ac:dyDescent="0.3">
      <c r="I530" t="str">
        <v>roxygen2</v>
      </c>
      <c r="J530" t="str">
        <v>D:/R/R-4.5.2/library</v>
      </c>
      <c r="K530" t="str">
        <v>In-Line Documentation for R</v>
      </c>
    </row>
    <row r="531" spans="9:11" x14ac:dyDescent="0.3">
      <c r="I531" t="str">
        <v>rpart</v>
      </c>
      <c r="J531" t="str">
        <v>D:/R/R-4.5.2/library</v>
      </c>
      <c r="K531" t="str">
        <v>Recursive Partitioning and Regression Trees</v>
      </c>
    </row>
    <row r="532" spans="9:11" x14ac:dyDescent="0.3">
      <c r="I532" t="str">
        <v>rpart.plot</v>
      </c>
      <c r="J532" t="str">
        <v>D:/R/R-4.5.2/library</v>
      </c>
      <c r="K532" t="str">
        <v>Plot 'rpart' Models: An Enhanced Version of 'plot.rpart'</v>
      </c>
    </row>
    <row r="533" spans="9:11" x14ac:dyDescent="0.3">
      <c r="I533" t="str">
        <v>RPostgres</v>
      </c>
      <c r="J533" t="str">
        <v>D:/R/R-4.5.2/library</v>
      </c>
      <c r="K533" t="str">
        <v>C++ Interface to PostgreSQL</v>
      </c>
    </row>
    <row r="534" spans="9:11" x14ac:dyDescent="0.3">
      <c r="I534" t="str">
        <v>rprojroot</v>
      </c>
      <c r="J534" t="str">
        <v>D:/R/R-4.5.2/library</v>
      </c>
      <c r="K534" t="str">
        <v>Finding Files in Project Subdirectories</v>
      </c>
    </row>
    <row r="535" spans="9:11" x14ac:dyDescent="0.3">
      <c r="I535" t="str">
        <v>rrcov</v>
      </c>
      <c r="J535" t="str">
        <v>D:/R/R-4.5.2/library</v>
      </c>
      <c r="K535" t="str">
        <v>Scalable Robust Estimators with High Breakdown Point</v>
      </c>
    </row>
    <row r="536" spans="9:11" x14ac:dyDescent="0.3">
      <c r="I536" t="str">
        <v>rsample</v>
      </c>
      <c r="J536" t="str">
        <v>D:/R/R-4.5.2/library</v>
      </c>
      <c r="K536" t="str">
        <v>General Resampling Infrastructure</v>
      </c>
    </row>
    <row r="537" spans="9:11" x14ac:dyDescent="0.3">
      <c r="I537" t="str">
        <v>rsm</v>
      </c>
      <c r="J537" t="str">
        <v>D:/R/R-4.5.2/library</v>
      </c>
      <c r="K537" t="str">
        <v>Response-Surface Analysis</v>
      </c>
    </row>
    <row r="538" spans="9:11" x14ac:dyDescent="0.3">
      <c r="I538" t="str">
        <v>RSNNS</v>
      </c>
      <c r="J538" t="str">
        <v>D:/R/R-4.5.2/library</v>
      </c>
      <c r="K538" t="str">
        <v>Neural Networks using the Stuttgart Neural Network Simulator
(SNNS)</v>
      </c>
    </row>
    <row r="539" spans="9:11" x14ac:dyDescent="0.3">
      <c r="I539" t="str">
        <v>RSQLite</v>
      </c>
      <c r="J539" t="str">
        <v>D:/R/R-4.5.2/library</v>
      </c>
      <c r="K539" t="str">
        <v>SQLite Interface for R</v>
      </c>
    </row>
    <row r="540" spans="9:11" x14ac:dyDescent="0.3">
      <c r="I540" t="str">
        <v>rstan</v>
      </c>
      <c r="J540" t="str">
        <v>D:/R/R-4.5.2/library</v>
      </c>
      <c r="K540" t="str">
        <v>R Interface to Stan</v>
      </c>
    </row>
    <row r="541" spans="9:11" x14ac:dyDescent="0.3">
      <c r="I541" t="str">
        <v>rstanarm</v>
      </c>
      <c r="J541" t="str">
        <v>D:/R/R-4.5.2/library</v>
      </c>
      <c r="K541" t="str">
        <v>Bayesian Applied Regression Modeling via Stan</v>
      </c>
    </row>
    <row r="542" spans="9:11" x14ac:dyDescent="0.3">
      <c r="I542" t="str">
        <v>rstantools</v>
      </c>
      <c r="J542" t="str">
        <v>D:/R/R-4.5.2/library</v>
      </c>
      <c r="K542" t="str">
        <v>Tools for Developing R Packages Interfacing with 'Stan'</v>
      </c>
    </row>
    <row r="543" spans="9:11" x14ac:dyDescent="0.3">
      <c r="I543" t="str">
        <v>rstatix</v>
      </c>
      <c r="J543" t="str">
        <v>D:/R/R-4.5.2/library</v>
      </c>
      <c r="K543" t="str">
        <v>Pipe-Friendly Framework for Basic Statistical Tests</v>
      </c>
    </row>
    <row r="544" spans="9:11" x14ac:dyDescent="0.3">
      <c r="I544" t="str">
        <v>rstudioapi</v>
      </c>
      <c r="J544" t="str">
        <v>D:/R/R-4.5.2/library</v>
      </c>
      <c r="K544" t="str">
        <v>Safely Access the RStudio API</v>
      </c>
    </row>
    <row r="545" spans="9:11" x14ac:dyDescent="0.3">
      <c r="I545" t="str">
        <v>Rsymphony</v>
      </c>
      <c r="J545" t="str">
        <v>D:/R/R-4.5.2/library</v>
      </c>
      <c r="K545" t="str">
        <v>SYMPHONY in R</v>
      </c>
    </row>
    <row r="546" spans="9:11" x14ac:dyDescent="0.3">
      <c r="I546" t="str">
        <v>RUnit</v>
      </c>
      <c r="J546" t="str">
        <v>D:/R/R-4.5.2/library</v>
      </c>
      <c r="K546" t="str">
        <v>R Unit Test Framework</v>
      </c>
    </row>
    <row r="547" spans="9:11" x14ac:dyDescent="0.3">
      <c r="I547" t="str">
        <v>rversions</v>
      </c>
      <c r="J547" t="str">
        <v>D:/R/R-4.5.2/library</v>
      </c>
      <c r="K547" t="str">
        <v>Query 'R' Versions, Including 'r-release' and 'r-oldrel'</v>
      </c>
    </row>
    <row r="548" spans="9:11" x14ac:dyDescent="0.3">
      <c r="I548" t="str">
        <v>rvest</v>
      </c>
      <c r="J548" t="str">
        <v>D:/R/R-4.5.2/library</v>
      </c>
      <c r="K548" t="str">
        <v>Easily Harvest (Scrape) Web Pages</v>
      </c>
    </row>
    <row r="549" spans="9:11" x14ac:dyDescent="0.3">
      <c r="I549" t="str">
        <v>rworldmap</v>
      </c>
      <c r="J549" t="str">
        <v>D:/R/R-4.5.2/library</v>
      </c>
      <c r="K549" t="str">
        <v>Mapping Global Data</v>
      </c>
    </row>
    <row r="550" spans="9:11" x14ac:dyDescent="0.3">
      <c r="I550" t="str">
        <v>s2</v>
      </c>
      <c r="J550" t="str">
        <v>D:/R/R-4.5.2/library</v>
      </c>
      <c r="K550" t="str">
        <v>Spherical Geometry Operators Using the S2 Geometry Library</v>
      </c>
    </row>
    <row r="551" spans="9:11" x14ac:dyDescent="0.3">
      <c r="I551" t="str">
        <v>S7</v>
      </c>
      <c r="J551" t="str">
        <v>D:/R/R-4.5.2/library</v>
      </c>
      <c r="K551" t="str">
        <v>An Object Oriented System Meant to Become a Successor to S3 and
S4</v>
      </c>
    </row>
    <row r="552" spans="9:11" x14ac:dyDescent="0.3">
      <c r="I552" t="str">
        <v>sandwich</v>
      </c>
      <c r="J552" t="str">
        <v>D:/R/R-4.5.2/library</v>
      </c>
      <c r="K552" t="str">
        <v>Robust Covariance Matrix Estimators</v>
      </c>
    </row>
    <row r="553" spans="9:11" x14ac:dyDescent="0.3">
      <c r="I553" t="str">
        <v>sass</v>
      </c>
      <c r="J553" t="str">
        <v>D:/R/R-4.5.2/library</v>
      </c>
      <c r="K553" t="str">
        <v>Syntactically Awesome Style Sheets ('Sass')</v>
      </c>
    </row>
    <row r="554" spans="9:11" x14ac:dyDescent="0.3">
      <c r="I554" t="str">
        <v>scales</v>
      </c>
      <c r="J554" t="str">
        <v>D:/R/R-4.5.2/library</v>
      </c>
      <c r="K554" t="str">
        <v>Scale Functions for Visualization</v>
      </c>
    </row>
    <row r="555" spans="9:11" x14ac:dyDescent="0.3">
      <c r="I555" t="str">
        <v>scatterplot3d</v>
      </c>
      <c r="J555" t="str">
        <v>D:/R/R-4.5.2/library</v>
      </c>
      <c r="K555" t="str">
        <v>3D Scatter Plot</v>
      </c>
    </row>
    <row r="556" spans="9:11" x14ac:dyDescent="0.3">
      <c r="I556" t="str">
        <v>sciplot</v>
      </c>
      <c r="J556" t="str">
        <v>D:/R/R-4.5.2/library</v>
      </c>
      <c r="K556" t="str">
        <v>Scientific Graphing Functions for Factorial Designs</v>
      </c>
    </row>
    <row r="557" spans="9:11" x14ac:dyDescent="0.3">
      <c r="I557" t="str">
        <v>selectr</v>
      </c>
      <c r="J557" t="str">
        <v>D:/R/R-4.5.2/library</v>
      </c>
      <c r="K557" t="str">
        <v>Translate CSS Selectors to XPath Expressions</v>
      </c>
    </row>
    <row r="558" spans="9:11" x14ac:dyDescent="0.3">
      <c r="I558" t="str">
        <v>seriation</v>
      </c>
      <c r="J558" t="str">
        <v>D:/R/R-4.5.2/library</v>
      </c>
      <c r="K558" t="str">
        <v>Infrastructure for Ordering Objects Using Seriation</v>
      </c>
    </row>
    <row r="559" spans="9:11" x14ac:dyDescent="0.3">
      <c r="I559" t="str">
        <v>sessioninfo</v>
      </c>
      <c r="J559" t="str">
        <v>D:/R/R-4.5.2/library</v>
      </c>
      <c r="K559" t="str">
        <v>R Session Information</v>
      </c>
    </row>
    <row r="560" spans="9:11" x14ac:dyDescent="0.3">
      <c r="I560" t="str">
        <v>sets</v>
      </c>
      <c r="J560" t="str">
        <v>D:/R/R-4.5.2/library</v>
      </c>
      <c r="K560" t="str">
        <v>Sets, Generalized Sets, Customizable Sets and Intervals</v>
      </c>
    </row>
    <row r="561" spans="9:11" x14ac:dyDescent="0.3">
      <c r="I561" t="str">
        <v>sf</v>
      </c>
      <c r="J561" t="str">
        <v>D:/R/R-4.5.2/library</v>
      </c>
      <c r="K561" t="str">
        <v>Simple Features for R</v>
      </c>
    </row>
    <row r="562" spans="9:11" x14ac:dyDescent="0.3">
      <c r="I562" t="str">
        <v>sfd</v>
      </c>
      <c r="J562" t="str">
        <v>D:/R/R-4.5.2/library</v>
      </c>
      <c r="K562" t="str">
        <v>Space-Filling Design Library</v>
      </c>
    </row>
    <row r="563" spans="9:11" x14ac:dyDescent="0.3">
      <c r="I563" t="str">
        <v>sfsmisc</v>
      </c>
      <c r="J563" t="str">
        <v>D:/R/R-4.5.2/library</v>
      </c>
      <c r="K563" t="str">
        <v>Utilities from 'Seminar fuer Statistik' ETH Zurich</v>
      </c>
    </row>
    <row r="564" spans="9:11" x14ac:dyDescent="0.3">
      <c r="I564" t="str">
        <v>shape</v>
      </c>
      <c r="J564" t="str">
        <v>D:/R/R-4.5.2/library</v>
      </c>
      <c r="K564" t="str">
        <v>Functions for Plotting Graphical Shapes, Colors</v>
      </c>
    </row>
    <row r="565" spans="9:11" x14ac:dyDescent="0.3">
      <c r="I565" t="str">
        <v>shiny</v>
      </c>
      <c r="J565" t="str">
        <v>D:/R/R-4.5.2/library</v>
      </c>
      <c r="K565" t="str">
        <v>Web Application Framework for R</v>
      </c>
    </row>
    <row r="566" spans="9:11" x14ac:dyDescent="0.3">
      <c r="I566" t="str">
        <v>shinyjs</v>
      </c>
      <c r="J566" t="str">
        <v>D:/R/R-4.5.2/library</v>
      </c>
      <c r="K566" t="str">
        <v>Easily Improve the User Experience of Your Shiny Apps in Seconds</v>
      </c>
    </row>
    <row r="567" spans="9:11" x14ac:dyDescent="0.3">
      <c r="I567" t="str">
        <v>shinystan</v>
      </c>
      <c r="J567" t="str">
        <v>D:/R/R-4.5.2/library</v>
      </c>
      <c r="K567" t="str">
        <v>Interactive Visual and Numerical Diagnostics and Posterior
Analysis for Bayesian Models</v>
      </c>
    </row>
    <row r="568" spans="9:11" x14ac:dyDescent="0.3">
      <c r="I568" t="str">
        <v>shinythemes</v>
      </c>
      <c r="J568" t="str">
        <v>D:/R/R-4.5.2/library</v>
      </c>
      <c r="K568" t="str">
        <v>Themes for Shiny</v>
      </c>
    </row>
    <row r="569" spans="9:11" x14ac:dyDescent="0.3">
      <c r="I569" t="str">
        <v>simputation</v>
      </c>
      <c r="J569" t="str">
        <v>D:/R/R-4.5.2/library</v>
      </c>
      <c r="K569" t="str">
        <v>Simple Imputation</v>
      </c>
    </row>
    <row r="570" spans="9:11" x14ac:dyDescent="0.3">
      <c r="I570" t="str">
        <v>SixSigma</v>
      </c>
      <c r="J570" t="str">
        <v>D:/R/R-4.5.2/library</v>
      </c>
      <c r="K570" t="str">
        <v>Six Sigma Tools for Quality Control and Improvement</v>
      </c>
    </row>
    <row r="571" spans="9:11" x14ac:dyDescent="0.3">
      <c r="I571" t="str">
        <v>slam</v>
      </c>
      <c r="J571" t="str">
        <v>D:/R/R-4.5.2/library</v>
      </c>
      <c r="K571" t="str">
        <v>Sparse Lightweight Arrays and Matrices</v>
      </c>
    </row>
    <row r="572" spans="9:11" x14ac:dyDescent="0.3">
      <c r="I572" t="str">
        <v>slider</v>
      </c>
      <c r="J572" t="str">
        <v>D:/R/R-4.5.2/library</v>
      </c>
      <c r="K572" t="str">
        <v>Sliding Window Functions</v>
      </c>
    </row>
    <row r="573" spans="9:11" x14ac:dyDescent="0.3">
      <c r="I573" t="str">
        <v>snakecase</v>
      </c>
      <c r="J573" t="str">
        <v>D:/R/R-4.5.2/library</v>
      </c>
      <c r="K573" t="str">
        <v>Convert Strings into any Case</v>
      </c>
    </row>
    <row r="574" spans="9:11" x14ac:dyDescent="0.3">
      <c r="I574" t="str">
        <v>sourcetools</v>
      </c>
      <c r="J574" t="str">
        <v>D:/R/R-4.5.2/library</v>
      </c>
      <c r="K574" t="str">
        <v>Tools for Reading, Tokenizing and Parsing R Code</v>
      </c>
    </row>
    <row r="575" spans="9:11" x14ac:dyDescent="0.3">
      <c r="I575" t="str">
        <v>sp</v>
      </c>
      <c r="J575" t="str">
        <v>D:/R/R-4.5.2/library</v>
      </c>
      <c r="K575" t="str">
        <v>Classes and Methods for Spatial Data</v>
      </c>
    </row>
    <row r="576" spans="9:11" x14ac:dyDescent="0.3">
      <c r="I576" t="str">
        <v>spam</v>
      </c>
      <c r="J576" t="str">
        <v>D:/R/R-4.5.2/library</v>
      </c>
      <c r="K576" t="str">
        <v>SPArse Matrix</v>
      </c>
    </row>
    <row r="577" spans="9:11" x14ac:dyDescent="0.3">
      <c r="I577" t="str">
        <v>SparseM</v>
      </c>
      <c r="J577" t="str">
        <v>D:/R/R-4.5.2/library</v>
      </c>
      <c r="K577" t="str">
        <v>Sparse Linear Algebra</v>
      </c>
    </row>
    <row r="578" spans="9:11" x14ac:dyDescent="0.3">
      <c r="I578" t="str">
        <v>sparsevctrs</v>
      </c>
      <c r="J578" t="str">
        <v>D:/R/R-4.5.2/library</v>
      </c>
      <c r="K578" t="str">
        <v>Sparse Vectors for Use in Data Frames</v>
      </c>
    </row>
    <row r="579" spans="9:11" x14ac:dyDescent="0.3">
      <c r="I579" t="str">
        <v>spatial</v>
      </c>
      <c r="J579" t="str">
        <v>D:/R/R-4.5.2/library</v>
      </c>
      <c r="K579" t="str">
        <v>Functions for Kriging and Point Pattern Analysis</v>
      </c>
    </row>
    <row r="580" spans="9:11" x14ac:dyDescent="0.3">
      <c r="I580" t="str">
        <v>splines</v>
      </c>
      <c r="J580" t="str">
        <v>D:/R/R-4.5.2/library</v>
      </c>
      <c r="K580" t="str">
        <v>Regression Spline Functions and Classes</v>
      </c>
    </row>
    <row r="581" spans="9:11" x14ac:dyDescent="0.3">
      <c r="I581" t="str">
        <v>splitfngr</v>
      </c>
      <c r="J581" t="str">
        <v>D:/R/R-4.5.2/library</v>
      </c>
      <c r="K581" t="str">
        <v>Combined Evaluation and Split Access of Functions</v>
      </c>
    </row>
    <row r="582" spans="9:11" x14ac:dyDescent="0.3">
      <c r="I582" t="str">
        <v>splitstackshape</v>
      </c>
      <c r="J582" t="str">
        <v>D:/R/R-4.5.2/library</v>
      </c>
      <c r="K582" t="str">
        <v>Stack and Reshape Datasets After Splitting Concatenated Values</v>
      </c>
    </row>
    <row r="583" spans="9:11" x14ac:dyDescent="0.3">
      <c r="I583" t="str">
        <v>SQUAREM</v>
      </c>
      <c r="J583" t="str">
        <v>D:/R/R-4.5.2/library</v>
      </c>
      <c r="K583" t="str">
        <v>Squared Extrapolation Methods for Accelerating EM-Like Monotone
Algorithms</v>
      </c>
    </row>
    <row r="584" spans="9:11" x14ac:dyDescent="0.3">
      <c r="I584" t="str">
        <v>stabledist</v>
      </c>
      <c r="J584" t="str">
        <v>D:/R/R-4.5.2/library</v>
      </c>
      <c r="K584" t="str">
        <v>Stable Distribution Functions</v>
      </c>
    </row>
    <row r="585" spans="9:11" x14ac:dyDescent="0.3">
      <c r="I585" t="str">
        <v>StanHeaders</v>
      </c>
      <c r="J585" t="str">
        <v>D:/R/R-4.5.2/library</v>
      </c>
      <c r="K585" t="str">
        <v>C++ Header Files for Stan</v>
      </c>
    </row>
    <row r="586" spans="9:11" x14ac:dyDescent="0.3">
      <c r="I586" t="str">
        <v>startupmsg</v>
      </c>
      <c r="J586" t="str">
        <v>D:/R/R-4.5.2/library</v>
      </c>
      <c r="K586" t="str">
        <v>Utilities for Start-Up Messages</v>
      </c>
    </row>
    <row r="587" spans="9:11" x14ac:dyDescent="0.3">
      <c r="I587" t="str">
        <v>statmod</v>
      </c>
      <c r="J587" t="str">
        <v>D:/R/R-4.5.2/library</v>
      </c>
      <c r="K587" t="str">
        <v>Statistical Modeling</v>
      </c>
    </row>
    <row r="588" spans="9:11" x14ac:dyDescent="0.3">
      <c r="I588" t="str">
        <v>stats</v>
      </c>
      <c r="J588" t="str">
        <v>D:/R/R-4.5.2/library</v>
      </c>
      <c r="K588" t="str">
        <v>The R Stats Package</v>
      </c>
    </row>
    <row r="589" spans="9:11" x14ac:dyDescent="0.3">
      <c r="I589" t="str">
        <v>stats4</v>
      </c>
      <c r="J589" t="str">
        <v>D:/R/R-4.5.2/library</v>
      </c>
      <c r="K589" t="str">
        <v>Statistical Functions using S4 Classes</v>
      </c>
    </row>
    <row r="590" spans="9:11" x14ac:dyDescent="0.3">
      <c r="I590" t="str">
        <v>stats4teaching</v>
      </c>
      <c r="J590" t="str">
        <v>D:/R/R-4.5.2/library</v>
      </c>
      <c r="K590" t="str">
        <v>Simulate Pedagogical Statistical Data</v>
      </c>
    </row>
    <row r="591" spans="9:11" x14ac:dyDescent="0.3">
      <c r="I591" t="str">
        <v>StatsR</v>
      </c>
      <c r="J591" t="str">
        <v>D:/R/R-4.5.2/library</v>
      </c>
      <c r="K591" t="str">
        <v>Demo Wrapper for Native C++ StatsLib</v>
      </c>
    </row>
    <row r="592" spans="9:11" x14ac:dyDescent="0.3">
      <c r="I592" t="str">
        <v>StepReg</v>
      </c>
      <c r="J592" t="str">
        <v>D:/R/R-4.5.2/library</v>
      </c>
      <c r="K592" t="str">
        <v>A Comprehensive and Intuitive R Package for Stepwise Regression
Analysis</v>
      </c>
    </row>
    <row r="593" spans="9:11" x14ac:dyDescent="0.3">
      <c r="I593" t="str">
        <v>stringi</v>
      </c>
      <c r="J593" t="str">
        <v>D:/R/R-4.5.2/library</v>
      </c>
      <c r="K593" t="str">
        <v>Fast and Portable Character String Processing Facilities</v>
      </c>
    </row>
    <row r="594" spans="9:11" x14ac:dyDescent="0.3">
      <c r="I594" t="str">
        <v>stringr</v>
      </c>
      <c r="J594" t="str">
        <v>D:/R/R-4.5.2/library</v>
      </c>
      <c r="K594" t="str">
        <v>Simple, Consistent Wrappers for Common String Operations</v>
      </c>
    </row>
    <row r="595" spans="9:11" x14ac:dyDescent="0.3">
      <c r="I595" t="str">
        <v>strucchange</v>
      </c>
      <c r="J595" t="str">
        <v>D:/R/R-4.5.2/library</v>
      </c>
      <c r="K595" t="str">
        <v>Testing, Monitoring, and Dating Structural Changes</v>
      </c>
    </row>
    <row r="596" spans="9:11" x14ac:dyDescent="0.3">
      <c r="I596" t="str">
        <v>styler</v>
      </c>
      <c r="J596" t="str">
        <v>D:/R/R-4.5.2/library</v>
      </c>
      <c r="K596" t="str">
        <v>Non-Invasive Pretty Printing of R Code</v>
      </c>
    </row>
    <row r="597" spans="9:11" x14ac:dyDescent="0.3">
      <c r="I597" t="str">
        <v>summarytools</v>
      </c>
      <c r="J597" t="str">
        <v>D:/R/R-4.5.2/library</v>
      </c>
      <c r="K597" t="str">
        <v>Tools to Quickly and Neatly Summarize Data</v>
      </c>
    </row>
    <row r="598" spans="9:11" x14ac:dyDescent="0.3">
      <c r="I598" t="str">
        <v>survAUC</v>
      </c>
      <c r="J598" t="str">
        <v>D:/R/R-4.5.2/library</v>
      </c>
      <c r="K598" t="str">
        <v>Estimators of Prediction Accuracy for Time-to-Event Data</v>
      </c>
    </row>
    <row r="599" spans="9:11" x14ac:dyDescent="0.3">
      <c r="I599" t="str">
        <v>survey</v>
      </c>
      <c r="J599" t="str">
        <v>D:/R/R-4.5.2/library</v>
      </c>
      <c r="K599" t="str">
        <v>Analysis of Complex Survey Samples</v>
      </c>
    </row>
    <row r="600" spans="9:11" x14ac:dyDescent="0.3">
      <c r="I600" t="str">
        <v>survival</v>
      </c>
      <c r="J600" t="str">
        <v>D:/R/R-4.5.2/library</v>
      </c>
      <c r="K600" t="str">
        <v>Survival Analysis</v>
      </c>
    </row>
    <row r="601" spans="9:11" x14ac:dyDescent="0.3">
      <c r="I601" t="str">
        <v>survminer</v>
      </c>
      <c r="J601" t="str">
        <v>D:/R/R-4.5.2/library</v>
      </c>
      <c r="K601" t="str">
        <v>Drawing Survival Curves using 'ggplot2'</v>
      </c>
    </row>
    <row r="602" spans="9:11" x14ac:dyDescent="0.3">
      <c r="I602" t="str">
        <v>survMisc</v>
      </c>
      <c r="J602" t="str">
        <v>D:/R/R-4.5.2/library</v>
      </c>
      <c r="K602" t="str">
        <v>Miscellaneous Functions for Survival Data</v>
      </c>
    </row>
    <row r="603" spans="9:11" x14ac:dyDescent="0.3">
      <c r="I603" t="str">
        <v>svglite</v>
      </c>
      <c r="J603" t="str">
        <v>D:/R/R-4.5.2/library</v>
      </c>
      <c r="K603" t="str">
        <v>An 'SVG' Graphics Device</v>
      </c>
    </row>
    <row r="604" spans="9:11" x14ac:dyDescent="0.3">
      <c r="I604" t="str">
        <v>svUnit</v>
      </c>
      <c r="J604" t="str">
        <v>D:/R/R-4.5.2/library</v>
      </c>
      <c r="K604" t="str">
        <v>'SciViews::R' - Unit, Integration and System Testing</v>
      </c>
    </row>
    <row r="605" spans="9:11" x14ac:dyDescent="0.3">
      <c r="I605" t="str">
        <v>sys</v>
      </c>
      <c r="J605" t="str">
        <v>D:/R/R-4.5.2/library</v>
      </c>
      <c r="K605" t="str">
        <v>Powerful and Reliable Tools for Running System Commands in R</v>
      </c>
    </row>
    <row r="606" spans="9:11" x14ac:dyDescent="0.3">
      <c r="I606" t="str">
        <v>systemfonts</v>
      </c>
      <c r="J606" t="str">
        <v>D:/R/R-4.5.2/library</v>
      </c>
      <c r="K606" t="str">
        <v>System Native Font Finding</v>
      </c>
    </row>
    <row r="607" spans="9:11" x14ac:dyDescent="0.3">
      <c r="I607" t="str">
        <v>tailor</v>
      </c>
      <c r="J607" t="str">
        <v>D:/R/R-4.5.2/library</v>
      </c>
      <c r="K607" t="str">
        <v>Iterative Steps for Postprocessing Model Predictions</v>
      </c>
    </row>
    <row r="608" spans="9:11" x14ac:dyDescent="0.3">
      <c r="I608" t="str">
        <v>TAM</v>
      </c>
      <c r="J608" t="str">
        <v>D:/R/R-4.5.2/library</v>
      </c>
      <c r="K608" t="str">
        <v>Test Analysis Modules</v>
      </c>
    </row>
    <row r="609" spans="9:11" x14ac:dyDescent="0.3">
      <c r="I609" t="str">
        <v>tcltk</v>
      </c>
      <c r="J609" t="str">
        <v>D:/R/R-4.5.2/library</v>
      </c>
      <c r="K609" t="str">
        <v>Tcl/Tk Interface</v>
      </c>
    </row>
    <row r="610" spans="9:11" x14ac:dyDescent="0.3">
      <c r="I610" t="str">
        <v>TeachingDemos</v>
      </c>
      <c r="J610" t="str">
        <v>D:/R/R-4.5.2/library</v>
      </c>
      <c r="K610" t="str">
        <v>Demonstrations for Teaching and Learning</v>
      </c>
    </row>
    <row r="611" spans="9:11" x14ac:dyDescent="0.3">
      <c r="I611" t="str">
        <v>tensorA</v>
      </c>
      <c r="J611" t="str">
        <v>D:/R/R-4.5.2/library</v>
      </c>
      <c r="K611" t="str">
        <v>Advanced Tensor Arithmetic with Named Indices</v>
      </c>
    </row>
    <row r="612" spans="9:11" x14ac:dyDescent="0.3">
      <c r="I612" t="str">
        <v>terra</v>
      </c>
      <c r="J612" t="str">
        <v>D:/R/R-4.5.2/library</v>
      </c>
      <c r="K612" t="str">
        <v>Spatial Data Analysis</v>
      </c>
    </row>
    <row r="613" spans="9:11" x14ac:dyDescent="0.3">
      <c r="I613" t="str">
        <v>testthat</v>
      </c>
      <c r="J613" t="str">
        <v>D:/R/R-4.5.2/library</v>
      </c>
      <c r="K613" t="str">
        <v>Unit Testing for R</v>
      </c>
    </row>
    <row r="614" spans="9:11" x14ac:dyDescent="0.3">
      <c r="I614" t="str">
        <v>texreg</v>
      </c>
      <c r="J614" t="str">
        <v>D:/R/R-4.5.2/library</v>
      </c>
      <c r="K614" t="str">
        <v>Conversion of R Regression Output to LaTeX or HTML Tables</v>
      </c>
    </row>
    <row r="615" spans="9:11" x14ac:dyDescent="0.3">
      <c r="I615" t="str">
        <v>textshaping</v>
      </c>
      <c r="J615" t="str">
        <v>D:/R/R-4.5.2/library</v>
      </c>
      <c r="K615" t="str">
        <v>Bindings to the 'HarfBuzz' and 'Fribidi' Libraries for Text
Shaping</v>
      </c>
    </row>
    <row r="616" spans="9:11" x14ac:dyDescent="0.3">
      <c r="I616" t="str">
        <v>textutils</v>
      </c>
      <c r="J616" t="str">
        <v>D:/R/R-4.5.2/library</v>
      </c>
      <c r="K616" t="str">
        <v>Utilities for Handling Strings and Text</v>
      </c>
    </row>
    <row r="617" spans="9:11" x14ac:dyDescent="0.3">
      <c r="I617" t="str">
        <v>TH.data</v>
      </c>
      <c r="J617" t="str">
        <v>D:/R/R-4.5.2/library</v>
      </c>
      <c r="K617" t="str">
        <v>TH's Data Archive</v>
      </c>
    </row>
    <row r="618" spans="9:11" x14ac:dyDescent="0.3">
      <c r="I618" t="str">
        <v>threejs</v>
      </c>
      <c r="J618" t="str">
        <v>D:/R/R-4.5.2/library</v>
      </c>
      <c r="K618" t="str">
        <v>Interactive 3D Scatter Plots, Networks and Globes</v>
      </c>
    </row>
    <row r="619" spans="9:11" x14ac:dyDescent="0.3">
      <c r="I619" t="str">
        <v>tibble</v>
      </c>
      <c r="J619" t="str">
        <v>D:/R/R-4.5.2/library</v>
      </c>
      <c r="K619" t="str">
        <v>Simple Data Frames</v>
      </c>
    </row>
    <row r="620" spans="9:11" x14ac:dyDescent="0.3">
      <c r="I620" t="str">
        <v>tidybayes</v>
      </c>
      <c r="J620" t="str">
        <v>D:/R/R-4.5.2/library</v>
      </c>
      <c r="K620" t="str">
        <v>Tidy Data and 'Geoms' for Bayesian Models</v>
      </c>
    </row>
    <row r="621" spans="9:11" x14ac:dyDescent="0.3">
      <c r="I621" t="str">
        <v>tidycensus</v>
      </c>
      <c r="J621" t="str">
        <v>D:/R/R-4.5.2/library</v>
      </c>
      <c r="K621" t="str">
        <v>Load US Census Boundary and Attribute Data as 'tidyverse' and
'sf'-Ready Data Frames</v>
      </c>
    </row>
    <row r="622" spans="9:11" x14ac:dyDescent="0.3">
      <c r="I622" t="str">
        <v>tidygraph</v>
      </c>
      <c r="J622" t="str">
        <v>D:/R/R-4.5.2/library</v>
      </c>
      <c r="K622" t="str">
        <v>A Tidy API for Graph Manipulation</v>
      </c>
    </row>
    <row r="623" spans="9:11" x14ac:dyDescent="0.3">
      <c r="I623" t="str">
        <v>tidymodels</v>
      </c>
      <c r="J623" t="str">
        <v>D:/R/R-4.5.2/library</v>
      </c>
      <c r="K623" t="str">
        <v>Easily Install and Load the 'Tidymodels' Packages</v>
      </c>
    </row>
    <row r="624" spans="9:11" x14ac:dyDescent="0.3">
      <c r="I624" t="str">
        <v>tidyquant</v>
      </c>
      <c r="J624" t="str">
        <v>D:/R/R-4.5.2/library</v>
      </c>
      <c r="K624" t="str">
        <v>Tidy Quantitative Financial Analysis</v>
      </c>
    </row>
    <row r="625" spans="9:11" x14ac:dyDescent="0.3">
      <c r="I625" t="str">
        <v>tidyr</v>
      </c>
      <c r="J625" t="str">
        <v>D:/R/R-4.5.2/library</v>
      </c>
      <c r="K625" t="str">
        <v>Tidy Messy Data</v>
      </c>
    </row>
    <row r="626" spans="9:11" x14ac:dyDescent="0.3">
      <c r="I626" t="str">
        <v>tidyselect</v>
      </c>
      <c r="J626" t="str">
        <v>D:/R/R-4.5.2/library</v>
      </c>
      <c r="K626" t="str">
        <v>Select from a Set of Strings</v>
      </c>
    </row>
    <row r="627" spans="9:11" x14ac:dyDescent="0.3">
      <c r="I627" t="str">
        <v>tidystats</v>
      </c>
      <c r="J627" t="str">
        <v>D:/R/R-4.5.2/library</v>
      </c>
      <c r="K627" t="str">
        <v>Save Output of Statistical Tests</v>
      </c>
    </row>
    <row r="628" spans="9:11" x14ac:dyDescent="0.3">
      <c r="I628" t="str">
        <v>tidyverse</v>
      </c>
      <c r="J628" t="str">
        <v>D:/R/R-4.5.2/library</v>
      </c>
      <c r="K628" t="str">
        <v>Easily Install and Load the 'Tidyverse'</v>
      </c>
    </row>
    <row r="629" spans="9:11" x14ac:dyDescent="0.3">
      <c r="I629" t="str">
        <v>tigris</v>
      </c>
      <c r="J629" t="str">
        <v>D:/R/R-4.5.2/library</v>
      </c>
      <c r="K629" t="str">
        <v>Load Census TIGER/Line Shapefiles</v>
      </c>
    </row>
    <row r="630" spans="9:11" x14ac:dyDescent="0.3">
      <c r="I630" t="str">
        <v>timechange</v>
      </c>
      <c r="J630" t="str">
        <v>D:/R/R-4.5.2/library</v>
      </c>
      <c r="K630" t="str">
        <v>Efficient Manipulation of Date-Times</v>
      </c>
    </row>
    <row r="631" spans="9:11" x14ac:dyDescent="0.3">
      <c r="I631" t="str">
        <v>timeDate</v>
      </c>
      <c r="J631" t="str">
        <v>D:/R/R-4.5.2/library</v>
      </c>
      <c r="K631" t="str">
        <v>Rmetrics - Chronological and Calendar Objects</v>
      </c>
    </row>
    <row r="632" spans="9:11" x14ac:dyDescent="0.3">
      <c r="I632" t="str">
        <v>timeSeries</v>
      </c>
      <c r="J632" t="str">
        <v>D:/R/R-4.5.2/library</v>
      </c>
      <c r="K632" t="str">
        <v>Financial Time Series Objects (Rmetrics)</v>
      </c>
    </row>
    <row r="633" spans="9:11" x14ac:dyDescent="0.3">
      <c r="I633" t="str">
        <v>timetk</v>
      </c>
      <c r="J633" t="str">
        <v>D:/R/R-4.5.2/library</v>
      </c>
      <c r="K633" t="str">
        <v>A Tool Kit for Working with Time Series</v>
      </c>
    </row>
    <row r="634" spans="9:11" x14ac:dyDescent="0.3">
      <c r="I634" t="str">
        <v>tinytex</v>
      </c>
      <c r="J634" t="str">
        <v>D:/R/R-4.5.2/library</v>
      </c>
      <c r="K634" t="str">
        <v>Helper Functions to Install and Maintain TeX Live, and Compile
LaTeX Documents</v>
      </c>
    </row>
    <row r="635" spans="9:11" x14ac:dyDescent="0.3">
      <c r="I635" t="str">
        <v>tis</v>
      </c>
      <c r="J635" t="str">
        <v>D:/R/R-4.5.2/library</v>
      </c>
      <c r="K635" t="str">
        <v>Time Indexes and Time Indexed Series</v>
      </c>
    </row>
    <row r="636" spans="9:11" x14ac:dyDescent="0.3">
      <c r="I636" t="str">
        <v>tkrplot</v>
      </c>
      <c r="J636" t="str">
        <v>D:/R/R-4.5.2/library</v>
      </c>
      <c r="K636" t="str">
        <v>TK Rplot</v>
      </c>
    </row>
    <row r="637" spans="9:11" x14ac:dyDescent="0.3">
      <c r="I637" t="str">
        <v>tools</v>
      </c>
      <c r="J637" t="str">
        <v>D:/R/R-4.5.2/library</v>
      </c>
      <c r="K637" t="str">
        <v>Tools for Package Development</v>
      </c>
    </row>
    <row r="638" spans="9:11" x14ac:dyDescent="0.3">
      <c r="I638" t="str">
        <v>translations</v>
      </c>
      <c r="J638" t="str">
        <v>D:/R/R-4.5.2/library</v>
      </c>
      <c r="K638" t="str">
        <v>The R Translations Package</v>
      </c>
    </row>
    <row r="639" spans="9:11" x14ac:dyDescent="0.3">
      <c r="I639" t="str">
        <v>tseries</v>
      </c>
      <c r="J639" t="str">
        <v>D:/R/R-4.5.2/library</v>
      </c>
      <c r="K639" t="str">
        <v>Time Series Analysis and Computational Finance</v>
      </c>
    </row>
    <row r="640" spans="9:11" x14ac:dyDescent="0.3">
      <c r="I640" t="str">
        <v>tsfeatures</v>
      </c>
      <c r="J640" t="str">
        <v>D:/R/R-4.5.2/library</v>
      </c>
      <c r="K640" t="str">
        <v>Time Series Feature Extraction</v>
      </c>
    </row>
    <row r="641" spans="9:11" x14ac:dyDescent="0.3">
      <c r="I641" t="str">
        <v>tsibble</v>
      </c>
      <c r="J641" t="str">
        <v>D:/R/R-4.5.2/library</v>
      </c>
      <c r="K641" t="str">
        <v>Tidy Temporal Data Frames and Tools</v>
      </c>
    </row>
    <row r="642" spans="9:11" x14ac:dyDescent="0.3">
      <c r="I642" t="str">
        <v>TSP</v>
      </c>
      <c r="J642" t="str">
        <v>D:/R/R-4.5.2/library</v>
      </c>
      <c r="K642" t="str">
        <v>Infrastructure for the Traveling Salesperson Problem</v>
      </c>
    </row>
    <row r="643" spans="9:11" x14ac:dyDescent="0.3">
      <c r="I643" t="str">
        <v>TTR</v>
      </c>
      <c r="J643" t="str">
        <v>D:/R/R-4.5.2/library</v>
      </c>
      <c r="K643" t="str">
        <v>Technical Trading Rules</v>
      </c>
    </row>
    <row r="644" spans="9:11" x14ac:dyDescent="0.3">
      <c r="I644" t="str">
        <v>tune</v>
      </c>
      <c r="J644" t="str">
        <v>D:/R/R-4.5.2/library</v>
      </c>
      <c r="K644" t="str">
        <v>Tidy Tuning Tools</v>
      </c>
    </row>
    <row r="645" spans="9:11" x14ac:dyDescent="0.3">
      <c r="I645" t="str">
        <v>tweenr</v>
      </c>
      <c r="J645" t="str">
        <v>D:/R/R-4.5.2/library</v>
      </c>
      <c r="K645" t="str">
        <v>Interpolate Data for Smooth Animations</v>
      </c>
    </row>
    <row r="646" spans="9:11" x14ac:dyDescent="0.3">
      <c r="I646" t="str">
        <v>twosamples</v>
      </c>
      <c r="J646" t="str">
        <v>D:/R/R-4.5.2/library</v>
      </c>
      <c r="K646" t="str">
        <v>Fast Permutation Based Two Sample Tests</v>
      </c>
    </row>
    <row r="647" spans="9:11" x14ac:dyDescent="0.3">
      <c r="I647" t="str">
        <v>tzdb</v>
      </c>
      <c r="J647" t="str">
        <v>D:/R/R-4.5.2/library</v>
      </c>
      <c r="K647" t="str">
        <v>Time Zone Database Information</v>
      </c>
    </row>
    <row r="648" spans="9:11" x14ac:dyDescent="0.3">
      <c r="I648" t="str">
        <v>ucminf</v>
      </c>
      <c r="J648" t="str">
        <v>D:/R/R-4.5.2/library</v>
      </c>
      <c r="K648" t="str">
        <v>General-Purpose Unconstrained Non-Linear Optimization</v>
      </c>
    </row>
    <row r="649" spans="9:11" x14ac:dyDescent="0.3">
      <c r="I649" t="str">
        <v>units</v>
      </c>
      <c r="J649" t="str">
        <v>D:/R/R-4.5.2/library</v>
      </c>
      <c r="K649" t="str">
        <v>Measurement Units for R Vectors</v>
      </c>
    </row>
    <row r="650" spans="9:11" x14ac:dyDescent="0.3">
      <c r="I650" t="str">
        <v>UpSetR</v>
      </c>
      <c r="J650" t="str">
        <v>D:/R/R-4.5.2/library</v>
      </c>
      <c r="K650" t="str">
        <v>A More Scalable Alternative to Venn and Euler Diagrams for
Visualizing Intersecting Sets</v>
      </c>
    </row>
    <row r="651" spans="9:11" x14ac:dyDescent="0.3">
      <c r="I651" t="str">
        <v>urca</v>
      </c>
      <c r="J651" t="str">
        <v>D:/R/R-4.5.2/library</v>
      </c>
      <c r="K651" t="str">
        <v>Unit Root and Cointegration Tests for Time Series Data</v>
      </c>
    </row>
    <row r="652" spans="9:11" x14ac:dyDescent="0.3">
      <c r="I652" t="str">
        <v>urlchecker</v>
      </c>
      <c r="J652" t="str">
        <v>D:/R/R-4.5.2/library</v>
      </c>
      <c r="K652" t="str">
        <v>Run CRAN URL Checks from Older R Versions</v>
      </c>
    </row>
    <row r="653" spans="9:11" x14ac:dyDescent="0.3">
      <c r="I653" t="str">
        <v>usethis</v>
      </c>
      <c r="J653" t="str">
        <v>D:/R/R-4.5.2/library</v>
      </c>
      <c r="K653" t="str">
        <v>Automate Package and Project Setup</v>
      </c>
    </row>
    <row r="654" spans="9:11" x14ac:dyDescent="0.3">
      <c r="I654" t="str">
        <v>utf8</v>
      </c>
      <c r="J654" t="str">
        <v>D:/R/R-4.5.2/library</v>
      </c>
      <c r="K654" t="str">
        <v>Unicode Text Processing</v>
      </c>
    </row>
    <row r="655" spans="9:11" x14ac:dyDescent="0.3">
      <c r="I655" t="str">
        <v>utils</v>
      </c>
      <c r="J655" t="str">
        <v>D:/R/R-4.5.2/library</v>
      </c>
      <c r="K655" t="str">
        <v>The R Utils Package</v>
      </c>
    </row>
    <row r="656" spans="9:11" x14ac:dyDescent="0.3">
      <c r="I656" t="str">
        <v>uuid</v>
      </c>
      <c r="J656" t="str">
        <v>D:/R/R-4.5.2/library</v>
      </c>
      <c r="K656" t="str">
        <v>Tools for Generating and Handling of UUIDs</v>
      </c>
    </row>
    <row r="657" spans="9:11" x14ac:dyDescent="0.3">
      <c r="I657" t="str">
        <v>vcd</v>
      </c>
      <c r="J657" t="str">
        <v>D:/R/R-4.5.2/library</v>
      </c>
      <c r="K657" t="str">
        <v>Visualizing Categorical Data</v>
      </c>
    </row>
    <row r="658" spans="9:11" x14ac:dyDescent="0.3">
      <c r="I658" t="str">
        <v>vctrs</v>
      </c>
      <c r="J658" t="str">
        <v>D:/R/R-4.5.2/library</v>
      </c>
      <c r="K658" t="str">
        <v>Vector Helpers</v>
      </c>
    </row>
    <row r="659" spans="9:11" x14ac:dyDescent="0.3">
      <c r="I659" t="str">
        <v>vegan</v>
      </c>
      <c r="J659" t="str">
        <v>D:/R/R-4.5.2/library</v>
      </c>
      <c r="K659" t="str">
        <v>Community Ecology Package</v>
      </c>
    </row>
    <row r="660" spans="9:11" x14ac:dyDescent="0.3">
      <c r="I660" t="str">
        <v>VIM</v>
      </c>
      <c r="J660" t="str">
        <v>D:/R/R-4.5.2/library</v>
      </c>
      <c r="K660" t="str">
        <v>Visualization and Imputation of Missing Values</v>
      </c>
    </row>
    <row r="661" spans="9:11" x14ac:dyDescent="0.3">
      <c r="I661" t="str">
        <v>vipor</v>
      </c>
      <c r="J661" t="str">
        <v>D:/R/R-4.5.2/library</v>
      </c>
      <c r="K661" t="str">
        <v>Plot Categorical Data Using Quasirandom Noise and Density
Estimates</v>
      </c>
    </row>
    <row r="662" spans="9:11" x14ac:dyDescent="0.3">
      <c r="I662" t="str">
        <v>viridis</v>
      </c>
      <c r="J662" t="str">
        <v>D:/R/R-4.5.2/library</v>
      </c>
      <c r="K662" t="str">
        <v>Colorblind-Friendly Color Maps for R</v>
      </c>
    </row>
    <row r="663" spans="9:11" x14ac:dyDescent="0.3">
      <c r="I663" t="str">
        <v>viridisLite</v>
      </c>
      <c r="J663" t="str">
        <v>D:/R/R-4.5.2/library</v>
      </c>
      <c r="K663" t="str">
        <v>Colorblind-Friendly Color Maps (Lite Version)</v>
      </c>
    </row>
    <row r="664" spans="9:11" x14ac:dyDescent="0.3">
      <c r="I664" t="str">
        <v>visdat</v>
      </c>
      <c r="J664" t="str">
        <v>D:/R/R-4.5.2/library</v>
      </c>
      <c r="K664" t="str">
        <v>Preliminary Visualisation of Data</v>
      </c>
    </row>
    <row r="665" spans="9:11" x14ac:dyDescent="0.3">
      <c r="I665" t="str">
        <v>visNetwork</v>
      </c>
      <c r="J665" t="str">
        <v>D:/R/R-4.5.2/library</v>
      </c>
      <c r="K665" t="str">
        <v>Network Visualization using 'vis.js' Library</v>
      </c>
    </row>
    <row r="666" spans="9:11" x14ac:dyDescent="0.3">
      <c r="I666" t="str">
        <v>visreg</v>
      </c>
      <c r="J666" t="str">
        <v>D:/R/R-4.5.2/library</v>
      </c>
      <c r="K666" t="str">
        <v>Visualization of Regression Models</v>
      </c>
    </row>
    <row r="667" spans="9:11" x14ac:dyDescent="0.3">
      <c r="I667" t="str">
        <v>vroom</v>
      </c>
      <c r="J667" t="str">
        <v>D:/R/R-4.5.2/library</v>
      </c>
      <c r="K667" t="str">
        <v>Read and Write Rectangular Text Data Quickly</v>
      </c>
    </row>
    <row r="668" spans="9:11" x14ac:dyDescent="0.3">
      <c r="I668" t="str">
        <v>waldo</v>
      </c>
      <c r="J668" t="str">
        <v>D:/R/R-4.5.2/library</v>
      </c>
      <c r="K668" t="str">
        <v>Find Differences Between R Objects</v>
      </c>
    </row>
    <row r="669" spans="9:11" x14ac:dyDescent="0.3">
      <c r="I669" t="str">
        <v>warp</v>
      </c>
      <c r="J669" t="str">
        <v>D:/R/R-4.5.2/library</v>
      </c>
      <c r="K669" t="str">
        <v>Group Dates</v>
      </c>
    </row>
    <row r="670" spans="9:11" x14ac:dyDescent="0.3">
      <c r="I670" t="str">
        <v>WDI</v>
      </c>
      <c r="J670" t="str">
        <v>D:/R/R-4.5.2/library</v>
      </c>
      <c r="K670" t="str">
        <v>World Development Indicators and Other World Bank Data</v>
      </c>
    </row>
    <row r="671" spans="9:11" x14ac:dyDescent="0.3">
      <c r="I671" t="str">
        <v>webshot</v>
      </c>
      <c r="J671" t="str">
        <v>D:/R/R-4.5.2/library</v>
      </c>
      <c r="K671" t="str">
        <v>Take Screenshots of Web Pages</v>
      </c>
    </row>
    <row r="672" spans="9:11" x14ac:dyDescent="0.3">
      <c r="I672" t="str">
        <v>whisker</v>
      </c>
      <c r="J672" t="str">
        <v>D:/R/R-4.5.2/library</v>
      </c>
      <c r="K672" t="str">
        <v>{{mustache}} for R, Logicless Templating</v>
      </c>
    </row>
    <row r="673" spans="9:11" x14ac:dyDescent="0.3">
      <c r="I673" t="str">
        <v>withr</v>
      </c>
      <c r="J673" t="str">
        <v>D:/R/R-4.5.2/library</v>
      </c>
      <c r="K673" t="str">
        <v>Run Code 'With' Temporarily Modified Global State</v>
      </c>
    </row>
    <row r="674" spans="9:11" x14ac:dyDescent="0.3">
      <c r="I674" t="str">
        <v>wk</v>
      </c>
      <c r="J674" t="str">
        <v>D:/R/R-4.5.2/library</v>
      </c>
      <c r="K674" t="str">
        <v>Lightweight Well-Known Geometry Parsing</v>
      </c>
    </row>
    <row r="675" spans="9:11" x14ac:dyDescent="0.3">
      <c r="I675" t="str">
        <v>workflows</v>
      </c>
      <c r="J675" t="str">
        <v>D:/R/R-4.5.2/library</v>
      </c>
      <c r="K675" t="str">
        <v>Modeling Workflows</v>
      </c>
    </row>
    <row r="676" spans="9:11" x14ac:dyDescent="0.3">
      <c r="I676" t="str">
        <v>workflowsets</v>
      </c>
      <c r="J676" t="str">
        <v>D:/R/R-4.5.2/library</v>
      </c>
      <c r="K676" t="str">
        <v>Create a Collection of 'tidymodels' Workflows</v>
      </c>
    </row>
    <row r="677" spans="9:11" x14ac:dyDescent="0.3">
      <c r="I677" t="str">
        <v>WrightMap</v>
      </c>
      <c r="J677" t="str">
        <v>D:/R/R-4.5.2/library</v>
      </c>
      <c r="K677" t="str">
        <v>IRT Item-Person Map with 'ConQuest' Integration</v>
      </c>
    </row>
    <row r="678" spans="9:11" x14ac:dyDescent="0.3">
      <c r="I678" t="str">
        <v>writexl</v>
      </c>
      <c r="J678" t="str">
        <v>D:/R/R-4.5.2/library</v>
      </c>
      <c r="K678" t="str">
        <v>Export Data Frames to Excel 'xlsx' Format</v>
      </c>
    </row>
    <row r="679" spans="9:11" x14ac:dyDescent="0.3">
      <c r="I679" t="str">
        <v>xfun</v>
      </c>
      <c r="J679" t="str">
        <v>D:/R/R-4.5.2/library</v>
      </c>
      <c r="K679" t="str">
        <v>Supporting Functions for Packages Maintained by 'Yihui Xie'</v>
      </c>
    </row>
    <row r="680" spans="9:11" x14ac:dyDescent="0.3">
      <c r="I680" t="str">
        <v>xgboost</v>
      </c>
      <c r="J680" t="str">
        <v>D:/R/R-4.5.2/library</v>
      </c>
      <c r="K680" t="str">
        <v>Extreme Gradient Boosting</v>
      </c>
    </row>
    <row r="681" spans="9:11" x14ac:dyDescent="0.3">
      <c r="I681" t="str">
        <v>XML</v>
      </c>
      <c r="J681" t="str">
        <v>D:/R/R-4.5.2/library</v>
      </c>
      <c r="K681" t="str">
        <v>Tools for Parsing and Generating XML Within R and S-Plus</v>
      </c>
    </row>
    <row r="682" spans="9:11" x14ac:dyDescent="0.3">
      <c r="I682" t="str">
        <v>xml2</v>
      </c>
      <c r="J682" t="str">
        <v>D:/R/R-4.5.2/library</v>
      </c>
      <c r="K682" t="str">
        <v>Parse XML</v>
      </c>
    </row>
    <row r="683" spans="9:11" x14ac:dyDescent="0.3">
      <c r="I683" t="str">
        <v>xmlparsedata</v>
      </c>
      <c r="J683" t="str">
        <v>D:/R/R-4.5.2/library</v>
      </c>
      <c r="K683" t="str">
        <v>Parse Data of 'R' Code as an 'XML' Tree</v>
      </c>
    </row>
    <row r="684" spans="9:11" x14ac:dyDescent="0.3">
      <c r="I684" t="str">
        <v>xopen</v>
      </c>
      <c r="J684" t="str">
        <v>D:/R/R-4.5.2/library</v>
      </c>
      <c r="K684" t="str">
        <v>Open System Files, 'URLs', Anything</v>
      </c>
    </row>
    <row r="685" spans="9:11" x14ac:dyDescent="0.3">
      <c r="I685" t="str">
        <v>xtable</v>
      </c>
      <c r="J685" t="str">
        <v>D:/R/R-4.5.2/library</v>
      </c>
      <c r="K685" t="str">
        <v>Export Tables to LaTeX or HTML</v>
      </c>
    </row>
    <row r="686" spans="9:11" x14ac:dyDescent="0.3">
      <c r="I686" t="str">
        <v>xts</v>
      </c>
      <c r="J686" t="str">
        <v>D:/R/R-4.5.2/library</v>
      </c>
      <c r="K686" t="str">
        <v>eXtensible Time Series</v>
      </c>
    </row>
    <row r="687" spans="9:11" x14ac:dyDescent="0.3">
      <c r="I687" t="str">
        <v>yaml</v>
      </c>
      <c r="J687" t="str">
        <v>D:/R/R-4.5.2/library</v>
      </c>
      <c r="K687" t="str">
        <v>Methods to Convert R Data to YAML and Back</v>
      </c>
    </row>
    <row r="688" spans="9:11" x14ac:dyDescent="0.3">
      <c r="I688" t="str">
        <v>yardstick</v>
      </c>
      <c r="J688" t="str">
        <v>D:/R/R-4.5.2/library</v>
      </c>
      <c r="K688" t="str">
        <v>Tidy Characterizations of Model Performance</v>
      </c>
    </row>
    <row r="689" spans="9:11" x14ac:dyDescent="0.3">
      <c r="I689" t="str">
        <v>zeallot</v>
      </c>
      <c r="J689" t="str">
        <v>D:/R/R-4.5.2/library</v>
      </c>
      <c r="K689" t="str">
        <v>Multiple, Unpacking, and Destructuring Assignment</v>
      </c>
    </row>
    <row r="690" spans="9:11" x14ac:dyDescent="0.3">
      <c r="I690" t="str">
        <v>zip</v>
      </c>
      <c r="J690" t="str">
        <v>D:/R/R-4.5.2/library</v>
      </c>
      <c r="K690" t="str">
        <v>Cross-Platform 'zip' Compression</v>
      </c>
    </row>
    <row r="691" spans="9:11" x14ac:dyDescent="0.3">
      <c r="I691" t="str">
        <v>zoo</v>
      </c>
      <c r="J691" t="str">
        <v>D:/R/R-4.5.2/library</v>
      </c>
      <c r="K691" t="str">
        <v>S3 Infrastructure for Regular and Irregular Time Series (Z's
Ordered Observations)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Doc Info</vt:lpstr>
      <vt:lpstr>0. Datasets</vt:lpstr>
      <vt:lpstr>1. Introduction</vt:lpstr>
      <vt:lpstr>2. Numbers &amp; Vectors</vt:lpstr>
      <vt:lpstr>3. Objects</vt:lpstr>
      <vt:lpstr>4. Factors</vt:lpstr>
      <vt:lpstr>5. Arrays &amp; Matrices</vt:lpstr>
      <vt:lpstr>6. Lists &amp; Data Frames</vt:lpstr>
      <vt:lpstr>7. File Data</vt:lpstr>
      <vt:lpstr>8. Probability Distributions</vt:lpstr>
      <vt:lpstr>9. Control Statements</vt:lpstr>
      <vt:lpstr>10. Functions</vt:lpstr>
      <vt:lpstr>11. Statistical Models</vt:lpstr>
      <vt:lpstr>12. Graphics</vt:lpstr>
      <vt:lpstr>13. Packages</vt:lpstr>
      <vt:lpstr>14. OS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2023-08-23T07:46:01Z</dcterms:created>
  <dcterms:modified xsi:type="dcterms:W3CDTF">2026-09-25T11:55:58Z</dcterms:modified>
</cp:coreProperties>
</file>