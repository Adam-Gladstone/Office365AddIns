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ment\Projects\C#\Office\Office365 AddIns\ExcelRAddIn\Tests\"/>
    </mc:Choice>
  </mc:AlternateContent>
  <xr:revisionPtr revIDLastSave="0" documentId="13_ncr:1_{BFEA4474-98EF-40A4-A75F-064ACA033046}" xr6:coauthVersionLast="47" xr6:coauthVersionMax="47" xr10:uidLastSave="{00000000-0000-0000-0000-000000000000}"/>
  <bookViews>
    <workbookView xWindow="-108" yWindow="-108" windowWidth="23256" windowHeight="12456" activeTab="3" xr2:uid="{103A4457-AAC3-437C-9223-33DC1020895A}"/>
  </bookViews>
  <sheets>
    <sheet name="References" sheetId="1" r:id="rId1"/>
    <sheet name="Libraries" sheetId="2" r:id="rId2"/>
    <sheet name="Data" sheetId="3" r:id="rId3"/>
    <sheet name="Predic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4" l="1" a="1"/>
  <c r="C23" i="4" a="1"/>
  <c r="C21" i="4" a="1"/>
  <c r="C19" i="4" a="1"/>
  <c r="C15" i="4" a="1"/>
  <c r="C12" i="4" a="1"/>
  <c r="C9" i="4" a="1"/>
  <c r="C6" i="4" a="1"/>
  <c r="C5" i="4" a="1"/>
  <c r="C4" i="4" a="1"/>
  <c r="C3" i="4" a="1"/>
  <c r="D2" i="3" a="1"/>
  <c r="D3" i="2" a="1"/>
  <c r="D2" i="2" a="1"/>
  <c r="F2" i="3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<sst xmlns="http://schemas.openxmlformats.org/spreadsheetml/2006/main" count="22" uniqueCount="21">
  <si>
    <t>Topic</t>
  </si>
  <si>
    <t>Reference</t>
  </si>
  <si>
    <t>Data Visualization</t>
  </si>
  <si>
    <t>Mastering Data Visualization in R: Plotting Predicted Values with the mtcars Dataset | R-bloggers</t>
  </si>
  <si>
    <t>library(caret)</t>
  </si>
  <si>
    <t>library(ggplot2)</t>
  </si>
  <si>
    <t>mtcars &lt;- datasets::mtcars</t>
  </si>
  <si>
    <t>set.seed(123)</t>
  </si>
  <si>
    <t>splitIndex &lt;- createDataPartition(mtcars$mpg, p = 0.8, list = FALSE)</t>
  </si>
  <si>
    <t>training_data &lt;- mtcars[splitIndex, ]</t>
  </si>
  <si>
    <t>testing_data &lt;- mtcars[-splitIndex, ]</t>
  </si>
  <si>
    <t>Split the Data into Training and Testing Sets</t>
  </si>
  <si>
    <t>Build a Simple Linear Regression Model</t>
  </si>
  <si>
    <t>model &lt;- lm(mpg ~ ., data = training_data)</t>
  </si>
  <si>
    <t>Make Predictions</t>
  </si>
  <si>
    <t>predictions &lt;- predict(model, newdata = testing_data)</t>
  </si>
  <si>
    <t>Create a Scatter Plot of Predicted vs. Actual Values</t>
  </si>
  <si>
    <t>plot_data &lt;- data.frame(Actual = testing_data$mpg, Predicted = predictions)</t>
  </si>
  <si>
    <t>plot(plot_data$Actual, plot_data$Predicted,
     xlab = "Actual MPG", ylab = "Predicted MPG",
     main = "Actual vs. Predicted MPG",
     pch = 19, col = "blue")</t>
  </si>
  <si>
    <t>abline(lm(Predicted ~ Actual, data = plot_data), col = "red")</t>
  </si>
  <si>
    <t>plot(ggplot(plot_data, aes(x = Actual, y = Predicted)) +
  geom_point() +
  geom_smooth(method = "lm", formula = y ~ x, color = "red") +
  labs(
    x = "Actual MPG", 
    y = "Predicted MPG", 
    title = "Actual vs. Predicted MPG"
    ) +
  theme_minimal())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</si>
</sst>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/>
    <xf numFmtId="0" fontId="1" fillId="0" borderId="0" xfId="0" applyFont="1"/>
    <xf numFmtId="0" fontId="0" fillId="0" borderId="0" xfId="0" applyAlignment="1">
      <alignment wrapText="1"/>
    </xf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533400</xdr:colOff>
      <xdr:row>5</xdr:row>
      <xdr:rowOff>22860</xdr:rowOff>
    </xdr:from>
    <xdr:to>
      <xdr:col>8</xdr:col>
      <xdr:colOff>243840</xdr:colOff>
      <xdr:row>16</xdr:row>
      <xdr:rowOff>769620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3646F2-B906-B7E4-3E2C-79BBFF7BA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7460" y="937260"/>
          <a:ext cx="2758440" cy="2758440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3</xdr:col>
      <xdr:colOff>274320</xdr:colOff>
      <xdr:row>20</xdr:row>
      <xdr:rowOff>236220</xdr:rowOff>
    </xdr:from>
    <xdr:to>
      <xdr:col>7</xdr:col>
      <xdr:colOff>556260</xdr:colOff>
      <xdr:row>33</xdr:row>
      <xdr:rowOff>30480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D60D49-D3DE-9FA9-791F-4449F74D4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8380" y="5356860"/>
          <a:ext cx="2720340" cy="2720340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-bloggers.com/2023/09/mastering-data-visualization-in-r-plotting-predicted-values-with-the-mtcars-dataset/?utm_source=phpList&amp;utm_medium=email&amp;utm_campaign=R-bloggers-daily&amp;utm_content=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E73E1-9A3A-42E9-89F7-4F896330B946}">
  <dimension ref="B2:C3"/>
  <sheetViews>
    <sheetView workbookViewId="0">
      <selection activeCell="B4" sqref="B4"/>
    </sheetView>
  </sheetViews>
  <sheetFormatPr defaultRowHeight="14.4" x14ac:dyDescent="0.3"/>
  <cols>
    <col min="2" max="2" width="15.6640625" bestFit="1" customWidth="1"/>
    <col min="3" max="3" width="80.77734375" bestFit="1" customWidth="1"/>
  </cols>
  <sheetData>
    <row r="2" spans="2:3" x14ac:dyDescent="0.3">
      <c r="B2" s="2" t="s">
        <v>0</v>
      </c>
      <c r="C2" s="2" t="s">
        <v>1</v>
      </c>
    </row>
    <row r="3" spans="2:3" x14ac:dyDescent="0.3">
      <c r="B3" t="s">
        <v>2</v>
      </c>
      <c r="C3" s="1" t="s">
        <v>3</v>
      </c>
    </row>
  </sheetData>
  <hyperlinks>
    <hyperlink ref="C3" r:id="rId1" display="https://www.r-bloggers.com/2023/09/mastering-data-visualization-in-r-plotting-predicted-values-with-the-mtcars-dataset/?utm_source=phpList&amp;utm_medium=email&amp;utm_campaign=R-bloggers-daily&amp;utm_content=HTML" xr:uid="{0179B820-F0F3-4524-8FAF-7F527EB29B2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653DC-211B-4E26-8A1B-1DC94F776C00}">
  <dimension ref="B2:D3"/>
  <sheetViews>
    <sheetView workbookViewId="0">
      <selection activeCell="D4" sqref="D4"/>
    </sheetView>
  </sheetViews>
  <sheetFormatPr defaultRowHeight="14.4" x14ac:dyDescent="0.3"/>
  <cols>
    <col min="2" max="2" width="13.33203125" bestFit="1" customWidth="1"/>
  </cols>
  <sheetData>
    <row r="2" spans="2:4" x14ac:dyDescent="0.3">
      <c r="B2" t="s">
        <v>5</v>
      </c>
      <c r="D2" t="str" cm="1">
        <f t="array" ref="D2">TRANSPOSE(_xll.RScript.Evaluate(B2, TRUE))</f>
        <v>OK</v>
      </c>
    </row>
    <row r="3" spans="2:4" x14ac:dyDescent="0.3">
      <c r="B3" t="s">
        <v>4</v>
      </c>
      <c r="D3" t="str" cm="1">
        <f t="array" ref="D3">TRANSPOSE(_xll.RScript.Evaluate(B3,TRUE))</f>
        <v>OK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7F787-6BE0-40A7-AA7E-799990690E41}">
  <dimension ref="B2:Q34"/>
  <sheetViews>
    <sheetView workbookViewId="0">
      <selection activeCell="D3" sqref="D3"/>
    </sheetView>
  </sheetViews>
  <sheetFormatPr defaultRowHeight="14.4" x14ac:dyDescent="0.3"/>
  <cols>
    <col min="2" max="2" width="23" bestFit="1" customWidth="1"/>
    <col min="6" max="6" width="16.77734375" bestFit="1" customWidth="1"/>
  </cols>
  <sheetData>
    <row r="2" spans="2:17" x14ac:dyDescent="0.3">
      <c r="B2" t="s">
        <v>6</v>
      </c>
      <c r="D2" t="str" cm="1">
        <f t="array" ref="D2">_xll.RScript.Evaluate(B2)</f>
        <v>mtcars</v>
      </c>
      <c r="F2" t="str" cm="1">
        <f t="array" ref="F2:Q34">_xll.RScript.Evaluate(D2,)</f>
        <v>Index</v>
      </c>
      <c r="G2" t="str">
        <v>mpg</v>
      </c>
      <c r="H2" t="str">
        <v>cyl</v>
      </c>
      <c r="I2" t="str">
        <v>disp</v>
      </c>
      <c r="J2" t="str">
        <v>hp</v>
      </c>
      <c r="K2" t="str">
        <v>drat</v>
      </c>
      <c r="L2" t="str">
        <v>wt</v>
      </c>
      <c r="M2" t="str">
        <v>qsec</v>
      </c>
      <c r="N2" t="str">
        <v>vs</v>
      </c>
      <c r="O2" t="str">
        <v>am</v>
      </c>
      <c r="P2" t="str">
        <v>gear</v>
      </c>
      <c r="Q2" t="str">
        <v>carb</v>
      </c>
    </row>
    <row r="3" spans="2:17" x14ac:dyDescent="0.3">
      <c r="F3" t="str">
        <v>Mazda RX4</v>
      </c>
      <c r="G3">
        <v>21</v>
      </c>
      <c r="H3">
        <v>6</v>
      </c>
      <c r="I3">
        <v>160</v>
      </c>
      <c r="J3">
        <v>110</v>
      </c>
      <c r="K3">
        <v>3.9</v>
      </c>
      <c r="L3">
        <v>2.62</v>
      </c>
      <c r="M3">
        <v>16.46</v>
      </c>
      <c r="N3">
        <v>0</v>
      </c>
      <c r="O3">
        <v>1</v>
      </c>
      <c r="P3">
        <v>4</v>
      </c>
      <c r="Q3">
        <v>4</v>
      </c>
    </row>
    <row r="4" spans="2:17" x14ac:dyDescent="0.3">
      <c r="F4" t="str">
        <v>Mazda RX4 Wag</v>
      </c>
      <c r="G4">
        <v>21</v>
      </c>
      <c r="H4">
        <v>6</v>
      </c>
      <c r="I4">
        <v>160</v>
      </c>
      <c r="J4">
        <v>110</v>
      </c>
      <c r="K4">
        <v>3.9</v>
      </c>
      <c r="L4">
        <v>2.875</v>
      </c>
      <c r="M4">
        <v>17.02</v>
      </c>
      <c r="N4">
        <v>0</v>
      </c>
      <c r="O4">
        <v>1</v>
      </c>
      <c r="P4">
        <v>4</v>
      </c>
      <c r="Q4">
        <v>4</v>
      </c>
    </row>
    <row r="5" spans="2:17" x14ac:dyDescent="0.3">
      <c r="F5" t="str">
        <v>Datsun 710</v>
      </c>
      <c r="G5">
        <v>22.8</v>
      </c>
      <c r="H5">
        <v>4</v>
      </c>
      <c r="I5">
        <v>108</v>
      </c>
      <c r="J5">
        <v>93</v>
      </c>
      <c r="K5">
        <v>3.85</v>
      </c>
      <c r="L5">
        <v>2.3199999999999998</v>
      </c>
      <c r="M5">
        <v>18.61</v>
      </c>
      <c r="N5">
        <v>1</v>
      </c>
      <c r="O5">
        <v>1</v>
      </c>
      <c r="P5">
        <v>4</v>
      </c>
      <c r="Q5">
        <v>1</v>
      </c>
    </row>
    <row r="6" spans="2:17" x14ac:dyDescent="0.3">
      <c r="F6" t="str">
        <v>Hornet 4 Drive</v>
      </c>
      <c r="G6">
        <v>21.4</v>
      </c>
      <c r="H6">
        <v>6</v>
      </c>
      <c r="I6">
        <v>258</v>
      </c>
      <c r="J6">
        <v>110</v>
      </c>
      <c r="K6">
        <v>3.08</v>
      </c>
      <c r="L6">
        <v>3.2149999999999999</v>
      </c>
      <c r="M6">
        <v>19.440000000000001</v>
      </c>
      <c r="N6">
        <v>1</v>
      </c>
      <c r="O6">
        <v>0</v>
      </c>
      <c r="P6">
        <v>3</v>
      </c>
      <c r="Q6">
        <v>1</v>
      </c>
    </row>
    <row r="7" spans="2:17" x14ac:dyDescent="0.3">
      <c r="F7" t="str">
        <v>Hornet Sportabout</v>
      </c>
      <c r="G7">
        <v>18.7</v>
      </c>
      <c r="H7">
        <v>8</v>
      </c>
      <c r="I7">
        <v>360</v>
      </c>
      <c r="J7">
        <v>175</v>
      </c>
      <c r="K7">
        <v>3.15</v>
      </c>
      <c r="L7">
        <v>3.44</v>
      </c>
      <c r="M7">
        <v>17.02</v>
      </c>
      <c r="N7">
        <v>0</v>
      </c>
      <c r="O7">
        <v>0</v>
      </c>
      <c r="P7">
        <v>3</v>
      </c>
      <c r="Q7">
        <v>2</v>
      </c>
    </row>
    <row r="8" spans="2:17" x14ac:dyDescent="0.3">
      <c r="F8" t="str">
        <v>Valiant</v>
      </c>
      <c r="G8">
        <v>18.100000000000001</v>
      </c>
      <c r="H8">
        <v>6</v>
      </c>
      <c r="I8">
        <v>225</v>
      </c>
      <c r="J8">
        <v>105</v>
      </c>
      <c r="K8">
        <v>2.76</v>
      </c>
      <c r="L8">
        <v>3.46</v>
      </c>
      <c r="M8">
        <v>20.22</v>
      </c>
      <c r="N8">
        <v>1</v>
      </c>
      <c r="O8">
        <v>0</v>
      </c>
      <c r="P8">
        <v>3</v>
      </c>
      <c r="Q8">
        <v>1</v>
      </c>
    </row>
    <row r="9" spans="2:17" x14ac:dyDescent="0.3">
      <c r="F9" t="str">
        <v>Duster 360</v>
      </c>
      <c r="G9">
        <v>14.3</v>
      </c>
      <c r="H9">
        <v>8</v>
      </c>
      <c r="I9">
        <v>360</v>
      </c>
      <c r="J9">
        <v>245</v>
      </c>
      <c r="K9">
        <v>3.21</v>
      </c>
      <c r="L9">
        <v>3.57</v>
      </c>
      <c r="M9">
        <v>15.84</v>
      </c>
      <c r="N9">
        <v>0</v>
      </c>
      <c r="O9">
        <v>0</v>
      </c>
      <c r="P9">
        <v>3</v>
      </c>
      <c r="Q9">
        <v>4</v>
      </c>
    </row>
    <row r="10" spans="2:17" x14ac:dyDescent="0.3">
      <c r="F10" t="str">
        <v>Merc 240D</v>
      </c>
      <c r="G10">
        <v>24.4</v>
      </c>
      <c r="H10">
        <v>4</v>
      </c>
      <c r="I10">
        <v>146.69999999999999</v>
      </c>
      <c r="J10">
        <v>62</v>
      </c>
      <c r="K10">
        <v>3.69</v>
      </c>
      <c r="L10">
        <v>3.19</v>
      </c>
      <c r="M10">
        <v>20</v>
      </c>
      <c r="N10">
        <v>1</v>
      </c>
      <c r="O10">
        <v>0</v>
      </c>
      <c r="P10">
        <v>4</v>
      </c>
      <c r="Q10">
        <v>2</v>
      </c>
    </row>
    <row r="11" spans="2:17" x14ac:dyDescent="0.3">
      <c r="F11" t="str">
        <v>Merc 230</v>
      </c>
      <c r="G11">
        <v>22.8</v>
      </c>
      <c r="H11">
        <v>4</v>
      </c>
      <c r="I11">
        <v>140.80000000000001</v>
      </c>
      <c r="J11">
        <v>95</v>
      </c>
      <c r="K11">
        <v>3.92</v>
      </c>
      <c r="L11">
        <v>3.15</v>
      </c>
      <c r="M11">
        <v>22.9</v>
      </c>
      <c r="N11">
        <v>1</v>
      </c>
      <c r="O11">
        <v>0</v>
      </c>
      <c r="P11">
        <v>4</v>
      </c>
      <c r="Q11">
        <v>2</v>
      </c>
    </row>
    <row r="12" spans="2:17" x14ac:dyDescent="0.3">
      <c r="F12" t="str">
        <v>Merc 280</v>
      </c>
      <c r="G12">
        <v>19.2</v>
      </c>
      <c r="H12">
        <v>6</v>
      </c>
      <c r="I12">
        <v>167.6</v>
      </c>
      <c r="J12">
        <v>123</v>
      </c>
      <c r="K12">
        <v>3.92</v>
      </c>
      <c r="L12">
        <v>3.44</v>
      </c>
      <c r="M12">
        <v>18.3</v>
      </c>
      <c r="N12">
        <v>1</v>
      </c>
      <c r="O12">
        <v>0</v>
      </c>
      <c r="P12">
        <v>4</v>
      </c>
      <c r="Q12">
        <v>4</v>
      </c>
    </row>
    <row r="13" spans="2:17" x14ac:dyDescent="0.3">
      <c r="F13" t="str">
        <v>Merc 280C</v>
      </c>
      <c r="G13">
        <v>17.8</v>
      </c>
      <c r="H13">
        <v>6</v>
      </c>
      <c r="I13">
        <v>167.6</v>
      </c>
      <c r="J13">
        <v>123</v>
      </c>
      <c r="K13">
        <v>3.92</v>
      </c>
      <c r="L13">
        <v>3.44</v>
      </c>
      <c r="M13">
        <v>18.899999999999999</v>
      </c>
      <c r="N13">
        <v>1</v>
      </c>
      <c r="O13">
        <v>0</v>
      </c>
      <c r="P13">
        <v>4</v>
      </c>
      <c r="Q13">
        <v>4</v>
      </c>
    </row>
    <row r="14" spans="2:17" x14ac:dyDescent="0.3">
      <c r="F14" t="str">
        <v>Merc 450SE</v>
      </c>
      <c r="G14">
        <v>16.399999999999999</v>
      </c>
      <c r="H14">
        <v>8</v>
      </c>
      <c r="I14">
        <v>275.8</v>
      </c>
      <c r="J14">
        <v>180</v>
      </c>
      <c r="K14">
        <v>3.07</v>
      </c>
      <c r="L14">
        <v>4.07</v>
      </c>
      <c r="M14">
        <v>17.399999999999999</v>
      </c>
      <c r="N14">
        <v>0</v>
      </c>
      <c r="O14">
        <v>0</v>
      </c>
      <c r="P14">
        <v>3</v>
      </c>
      <c r="Q14">
        <v>3</v>
      </c>
    </row>
    <row r="15" spans="2:17" x14ac:dyDescent="0.3">
      <c r="F15" t="str">
        <v>Merc 450SL</v>
      </c>
      <c r="G15">
        <v>17.3</v>
      </c>
      <c r="H15">
        <v>8</v>
      </c>
      <c r="I15">
        <v>275.8</v>
      </c>
      <c r="J15">
        <v>180</v>
      </c>
      <c r="K15">
        <v>3.07</v>
      </c>
      <c r="L15">
        <v>3.73</v>
      </c>
      <c r="M15">
        <v>17.600000000000001</v>
      </c>
      <c r="N15">
        <v>0</v>
      </c>
      <c r="O15">
        <v>0</v>
      </c>
      <c r="P15">
        <v>3</v>
      </c>
      <c r="Q15">
        <v>3</v>
      </c>
    </row>
    <row r="16" spans="2:17" x14ac:dyDescent="0.3">
      <c r="F16" t="str">
        <v>Merc 450SLC</v>
      </c>
      <c r="G16">
        <v>15.2</v>
      </c>
      <c r="H16">
        <v>8</v>
      </c>
      <c r="I16">
        <v>275.8</v>
      </c>
      <c r="J16">
        <v>180</v>
      </c>
      <c r="K16">
        <v>3.07</v>
      </c>
      <c r="L16">
        <v>3.78</v>
      </c>
      <c r="M16">
        <v>18</v>
      </c>
      <c r="N16">
        <v>0</v>
      </c>
      <c r="O16">
        <v>0</v>
      </c>
      <c r="P16">
        <v>3</v>
      </c>
      <c r="Q16">
        <v>3</v>
      </c>
    </row>
    <row r="17" spans="6:17" x14ac:dyDescent="0.3">
      <c r="F17" t="str">
        <v>Cadillac Fleetwood</v>
      </c>
      <c r="G17">
        <v>10.4</v>
      </c>
      <c r="H17">
        <v>8</v>
      </c>
      <c r="I17">
        <v>472</v>
      </c>
      <c r="J17">
        <v>205</v>
      </c>
      <c r="K17">
        <v>2.93</v>
      </c>
      <c r="L17">
        <v>5.25</v>
      </c>
      <c r="M17">
        <v>17.98</v>
      </c>
      <c r="N17">
        <v>0</v>
      </c>
      <c r="O17">
        <v>0</v>
      </c>
      <c r="P17">
        <v>3</v>
      </c>
      <c r="Q17">
        <v>4</v>
      </c>
    </row>
    <row r="18" spans="6:17" x14ac:dyDescent="0.3">
      <c r="F18" t="str">
        <v>Lincoln Continental</v>
      </c>
      <c r="G18">
        <v>10.4</v>
      </c>
      <c r="H18">
        <v>8</v>
      </c>
      <c r="I18">
        <v>460</v>
      </c>
      <c r="J18">
        <v>215</v>
      </c>
      <c r="K18">
        <v>3</v>
      </c>
      <c r="L18">
        <v>5.4240000000000004</v>
      </c>
      <c r="M18">
        <v>17.82</v>
      </c>
      <c r="N18">
        <v>0</v>
      </c>
      <c r="O18">
        <v>0</v>
      </c>
      <c r="P18">
        <v>3</v>
      </c>
      <c r="Q18">
        <v>4</v>
      </c>
    </row>
    <row r="19" spans="6:17" x14ac:dyDescent="0.3">
      <c r="F19" t="str">
        <v>Chrysler Imperial</v>
      </c>
      <c r="G19">
        <v>14.7</v>
      </c>
      <c r="H19">
        <v>8</v>
      </c>
      <c r="I19">
        <v>440</v>
      </c>
      <c r="J19">
        <v>230</v>
      </c>
      <c r="K19">
        <v>3.23</v>
      </c>
      <c r="L19">
        <v>5.3449999999999998</v>
      </c>
      <c r="M19">
        <v>17.420000000000002</v>
      </c>
      <c r="N19">
        <v>0</v>
      </c>
      <c r="O19">
        <v>0</v>
      </c>
      <c r="P19">
        <v>3</v>
      </c>
      <c r="Q19">
        <v>4</v>
      </c>
    </row>
    <row r="20" spans="6:17" x14ac:dyDescent="0.3">
      <c r="F20" t="str">
        <v>Fiat 128</v>
      </c>
      <c r="G20">
        <v>32.4</v>
      </c>
      <c r="H20">
        <v>4</v>
      </c>
      <c r="I20">
        <v>78.7</v>
      </c>
      <c r="J20">
        <v>66</v>
      </c>
      <c r="K20">
        <v>4.08</v>
      </c>
      <c r="L20">
        <v>2.2000000000000002</v>
      </c>
      <c r="M20">
        <v>19.47</v>
      </c>
      <c r="N20">
        <v>1</v>
      </c>
      <c r="O20">
        <v>1</v>
      </c>
      <c r="P20">
        <v>4</v>
      </c>
      <c r="Q20">
        <v>1</v>
      </c>
    </row>
    <row r="21" spans="6:17" x14ac:dyDescent="0.3">
      <c r="F21" t="str">
        <v>Honda Civic</v>
      </c>
      <c r="G21">
        <v>30.4</v>
      </c>
      <c r="H21">
        <v>4</v>
      </c>
      <c r="I21">
        <v>75.7</v>
      </c>
      <c r="J21">
        <v>52</v>
      </c>
      <c r="K21">
        <v>4.93</v>
      </c>
      <c r="L21">
        <v>1.615</v>
      </c>
      <c r="M21">
        <v>18.52</v>
      </c>
      <c r="N21">
        <v>1</v>
      </c>
      <c r="O21">
        <v>1</v>
      </c>
      <c r="P21">
        <v>4</v>
      </c>
      <c r="Q21">
        <v>2</v>
      </c>
    </row>
    <row r="22" spans="6:17" x14ac:dyDescent="0.3">
      <c r="F22" t="str">
        <v>Toyota Corolla</v>
      </c>
      <c r="G22">
        <v>33.9</v>
      </c>
      <c r="H22">
        <v>4</v>
      </c>
      <c r="I22">
        <v>71.099999999999994</v>
      </c>
      <c r="J22">
        <v>65</v>
      </c>
      <c r="K22">
        <v>4.22</v>
      </c>
      <c r="L22">
        <v>1.835</v>
      </c>
      <c r="M22">
        <v>19.899999999999999</v>
      </c>
      <c r="N22">
        <v>1</v>
      </c>
      <c r="O22">
        <v>1</v>
      </c>
      <c r="P22">
        <v>4</v>
      </c>
      <c r="Q22">
        <v>1</v>
      </c>
    </row>
    <row r="23" spans="6:17" x14ac:dyDescent="0.3">
      <c r="F23" t="str">
        <v>Toyota Corona</v>
      </c>
      <c r="G23">
        <v>21.5</v>
      </c>
      <c r="H23">
        <v>4</v>
      </c>
      <c r="I23">
        <v>120.1</v>
      </c>
      <c r="J23">
        <v>97</v>
      </c>
      <c r="K23">
        <v>3.7</v>
      </c>
      <c r="L23">
        <v>2.4649999999999999</v>
      </c>
      <c r="M23">
        <v>20.010000000000002</v>
      </c>
      <c r="N23">
        <v>1</v>
      </c>
      <c r="O23">
        <v>0</v>
      </c>
      <c r="P23">
        <v>3</v>
      </c>
      <c r="Q23">
        <v>1</v>
      </c>
    </row>
    <row r="24" spans="6:17" x14ac:dyDescent="0.3">
      <c r="F24" t="str">
        <v>Dodge Challenger</v>
      </c>
      <c r="G24">
        <v>15.5</v>
      </c>
      <c r="H24">
        <v>8</v>
      </c>
      <c r="I24">
        <v>318</v>
      </c>
      <c r="J24">
        <v>150</v>
      </c>
      <c r="K24">
        <v>2.76</v>
      </c>
      <c r="L24">
        <v>3.52</v>
      </c>
      <c r="M24">
        <v>16.87</v>
      </c>
      <c r="N24">
        <v>0</v>
      </c>
      <c r="O24">
        <v>0</v>
      </c>
      <c r="P24">
        <v>3</v>
      </c>
      <c r="Q24">
        <v>2</v>
      </c>
    </row>
    <row r="25" spans="6:17" x14ac:dyDescent="0.3">
      <c r="F25" t="str">
        <v>AMC Javelin</v>
      </c>
      <c r="G25">
        <v>15.2</v>
      </c>
      <c r="H25">
        <v>8</v>
      </c>
      <c r="I25">
        <v>304</v>
      </c>
      <c r="J25">
        <v>150</v>
      </c>
      <c r="K25">
        <v>3.15</v>
      </c>
      <c r="L25">
        <v>3.4350000000000001</v>
      </c>
      <c r="M25">
        <v>17.3</v>
      </c>
      <c r="N25">
        <v>0</v>
      </c>
      <c r="O25">
        <v>0</v>
      </c>
      <c r="P25">
        <v>3</v>
      </c>
      <c r="Q25">
        <v>2</v>
      </c>
    </row>
    <row r="26" spans="6:17" x14ac:dyDescent="0.3">
      <c r="F26" t="str">
        <v>Camaro Z28</v>
      </c>
      <c r="G26">
        <v>13.3</v>
      </c>
      <c r="H26">
        <v>8</v>
      </c>
      <c r="I26">
        <v>350</v>
      </c>
      <c r="J26">
        <v>245</v>
      </c>
      <c r="K26">
        <v>3.73</v>
      </c>
      <c r="L26">
        <v>3.84</v>
      </c>
      <c r="M26">
        <v>15.41</v>
      </c>
      <c r="N26">
        <v>0</v>
      </c>
      <c r="O26">
        <v>0</v>
      </c>
      <c r="P26">
        <v>3</v>
      </c>
      <c r="Q26">
        <v>4</v>
      </c>
    </row>
    <row r="27" spans="6:17" x14ac:dyDescent="0.3">
      <c r="F27" t="str">
        <v>Pontiac Firebird</v>
      </c>
      <c r="G27">
        <v>19.2</v>
      </c>
      <c r="H27">
        <v>8</v>
      </c>
      <c r="I27">
        <v>400</v>
      </c>
      <c r="J27">
        <v>175</v>
      </c>
      <c r="K27">
        <v>3.08</v>
      </c>
      <c r="L27">
        <v>3.8450000000000002</v>
      </c>
      <c r="M27">
        <v>17.05</v>
      </c>
      <c r="N27">
        <v>0</v>
      </c>
      <c r="O27">
        <v>0</v>
      </c>
      <c r="P27">
        <v>3</v>
      </c>
      <c r="Q27">
        <v>2</v>
      </c>
    </row>
    <row r="28" spans="6:17" x14ac:dyDescent="0.3">
      <c r="F28" t="str">
        <v>Fiat X1-9</v>
      </c>
      <c r="G28">
        <v>27.3</v>
      </c>
      <c r="H28">
        <v>4</v>
      </c>
      <c r="I28">
        <v>79</v>
      </c>
      <c r="J28">
        <v>66</v>
      </c>
      <c r="K28">
        <v>4.08</v>
      </c>
      <c r="L28">
        <v>1.9350000000000001</v>
      </c>
      <c r="M28">
        <v>18.899999999999999</v>
      </c>
      <c r="N28">
        <v>1</v>
      </c>
      <c r="O28">
        <v>1</v>
      </c>
      <c r="P28">
        <v>4</v>
      </c>
      <c r="Q28">
        <v>1</v>
      </c>
    </row>
    <row r="29" spans="6:17" x14ac:dyDescent="0.3">
      <c r="F29" t="str">
        <v>Porsche 914-2</v>
      </c>
      <c r="G29">
        <v>26</v>
      </c>
      <c r="H29">
        <v>4</v>
      </c>
      <c r="I29">
        <v>120.3</v>
      </c>
      <c r="J29">
        <v>91</v>
      </c>
      <c r="K29">
        <v>4.43</v>
      </c>
      <c r="L29">
        <v>2.14</v>
      </c>
      <c r="M29">
        <v>16.7</v>
      </c>
      <c r="N29">
        <v>0</v>
      </c>
      <c r="O29">
        <v>1</v>
      </c>
      <c r="P29">
        <v>5</v>
      </c>
      <c r="Q29">
        <v>2</v>
      </c>
    </row>
    <row r="30" spans="6:17" x14ac:dyDescent="0.3">
      <c r="F30" t="str">
        <v>Lotus Europa</v>
      </c>
      <c r="G30">
        <v>30.4</v>
      </c>
      <c r="H30">
        <v>4</v>
      </c>
      <c r="I30">
        <v>95.1</v>
      </c>
      <c r="J30">
        <v>113</v>
      </c>
      <c r="K30">
        <v>3.77</v>
      </c>
      <c r="L30">
        <v>1.5129999999999999</v>
      </c>
      <c r="M30">
        <v>16.899999999999999</v>
      </c>
      <c r="N30">
        <v>1</v>
      </c>
      <c r="O30">
        <v>1</v>
      </c>
      <c r="P30">
        <v>5</v>
      </c>
      <c r="Q30">
        <v>2</v>
      </c>
    </row>
    <row r="31" spans="6:17" x14ac:dyDescent="0.3">
      <c r="F31" t="str">
        <v>Ford Pantera L</v>
      </c>
      <c r="G31">
        <v>15.8</v>
      </c>
      <c r="H31">
        <v>8</v>
      </c>
      <c r="I31">
        <v>351</v>
      </c>
      <c r="J31">
        <v>264</v>
      </c>
      <c r="K31">
        <v>4.22</v>
      </c>
      <c r="L31">
        <v>3.17</v>
      </c>
      <c r="M31">
        <v>14.5</v>
      </c>
      <c r="N31">
        <v>0</v>
      </c>
      <c r="O31">
        <v>1</v>
      </c>
      <c r="P31">
        <v>5</v>
      </c>
      <c r="Q31">
        <v>4</v>
      </c>
    </row>
    <row r="32" spans="6:17" x14ac:dyDescent="0.3">
      <c r="F32" t="str">
        <v>Ferrari Dino</v>
      </c>
      <c r="G32">
        <v>19.7</v>
      </c>
      <c r="H32">
        <v>6</v>
      </c>
      <c r="I32">
        <v>145</v>
      </c>
      <c r="J32">
        <v>175</v>
      </c>
      <c r="K32">
        <v>3.62</v>
      </c>
      <c r="L32">
        <v>2.77</v>
      </c>
      <c r="M32">
        <v>15.5</v>
      </c>
      <c r="N32">
        <v>0</v>
      </c>
      <c r="O32">
        <v>1</v>
      </c>
      <c r="P32">
        <v>5</v>
      </c>
      <c r="Q32">
        <v>6</v>
      </c>
    </row>
    <row r="33" spans="6:17" x14ac:dyDescent="0.3">
      <c r="F33" t="str">
        <v>Maserati Bora</v>
      </c>
      <c r="G33">
        <v>15</v>
      </c>
      <c r="H33">
        <v>8</v>
      </c>
      <c r="I33">
        <v>301</v>
      </c>
      <c r="J33">
        <v>335</v>
      </c>
      <c r="K33">
        <v>3.54</v>
      </c>
      <c r="L33">
        <v>3.57</v>
      </c>
      <c r="M33">
        <v>14.6</v>
      </c>
      <c r="N33">
        <v>0</v>
      </c>
      <c r="O33">
        <v>1</v>
      </c>
      <c r="P33">
        <v>5</v>
      </c>
      <c r="Q33">
        <v>8</v>
      </c>
    </row>
    <row r="34" spans="6:17" x14ac:dyDescent="0.3">
      <c r="F34" t="str">
        <v>Volvo 142E</v>
      </c>
      <c r="G34">
        <v>21.4</v>
      </c>
      <c r="H34">
        <v>4</v>
      </c>
      <c r="I34">
        <v>121</v>
      </c>
      <c r="J34">
        <v>109</v>
      </c>
      <c r="K34">
        <v>4.1100000000000003</v>
      </c>
      <c r="L34">
        <v>2.78</v>
      </c>
      <c r="M34">
        <v>18.600000000000001</v>
      </c>
      <c r="N34">
        <v>1</v>
      </c>
      <c r="O34">
        <v>1</v>
      </c>
      <c r="P34">
        <v>4</v>
      </c>
      <c r="Q3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A1991-1524-4EB5-BD98-B978A9A1B11E}">
  <dimension ref="B2:C23"/>
  <sheetViews>
    <sheetView tabSelected="1" workbookViewId="0">
      <selection activeCell="C18" sqref="C18"/>
    </sheetView>
  </sheetViews>
  <sheetFormatPr defaultRowHeight="14.4" x14ac:dyDescent="0.3"/>
  <cols>
    <col min="2" max="2" width="64.109375" bestFit="1" customWidth="1"/>
    <col min="3" max="3" width="11.77734375" bestFit="1" customWidth="1"/>
  </cols>
  <sheetData>
    <row r="2" spans="2:3" x14ac:dyDescent="0.3">
      <c r="B2" s="4" t="s">
        <v>11</v>
      </c>
    </row>
    <row r="3" spans="2:3" x14ac:dyDescent="0.3">
      <c r="B3" t="s">
        <v>7</v>
      </c>
      <c r="C3" t="str" cm="1">
        <f t="array" ref="C3">_xll.RScript.Evaluate(B3)</f>
        <v>OK</v>
      </c>
    </row>
    <row r="4" spans="2:3" x14ac:dyDescent="0.3">
      <c r="B4" t="s">
        <v>8</v>
      </c>
      <c r="C4" t="str" cm="1">
        <f t="array" ref="C4">_xll.RScript.Evaluate(B4)</f>
        <v>splitIndex</v>
      </c>
    </row>
    <row r="5" spans="2:3" x14ac:dyDescent="0.3">
      <c r="B5" t="s">
        <v>9</v>
      </c>
      <c r="C5" t="str" cm="1">
        <f t="array" ref="C5">_xll.RScript.Evaluate(B5)</f>
        <v>training_data</v>
      </c>
    </row>
    <row r="6" spans="2:3" x14ac:dyDescent="0.3">
      <c r="B6" t="s">
        <v>10</v>
      </c>
      <c r="C6" t="str" cm="1">
        <f t="array" ref="C6">_xll.RScript.Evaluate(B6)</f>
        <v>testing_data</v>
      </c>
    </row>
    <row r="8" spans="2:3" x14ac:dyDescent="0.3">
      <c r="B8" s="4" t="s">
        <v>12</v>
      </c>
    </row>
    <row r="9" spans="2:3" x14ac:dyDescent="0.3">
      <c r="B9" t="s">
        <v>13</v>
      </c>
      <c r="C9" t="str" cm="1">
        <f t="array" ref="C9">_xll.RScript.Evaluate(B9)</f>
        <v>model</v>
      </c>
    </row>
    <row r="11" spans="2:3" x14ac:dyDescent="0.3">
      <c r="B11" s="4" t="s">
        <v>14</v>
      </c>
    </row>
    <row r="12" spans="2:3" x14ac:dyDescent="0.3">
      <c r="B12" t="s">
        <v>15</v>
      </c>
      <c r="C12" t="str" cm="1">
        <f t="array" ref="C12">_xll.RScript.Evaluate(B12)</f>
        <v>predictions</v>
      </c>
    </row>
    <row r="14" spans="2:3" x14ac:dyDescent="0.3">
      <c r="B14" s="4" t="s">
        <v>16</v>
      </c>
    </row>
    <row r="15" spans="2:3" x14ac:dyDescent="0.3">
      <c r="B15" t="s">
        <v>17</v>
      </c>
      <c r="C15" t="str" cm="1">
        <f t="array" ref="C15">_xll.RScript.Evaluate(B15)</f>
        <v>plot_data</v>
      </c>
    </row>
    <row r="17" spans="2:3" ht="129.6" x14ac:dyDescent="0.3">
      <c r="B17" s="3" t="s">
        <v>20</v>
      </c>
      <c r="C17" t="str" cm="1">
        <f t="array" ref="C17">TRANSPOSE(_xll.RScript.Evaluate(B17, TRUE))</f>
        <v>Exception: Unable to display the contents. Unknown expression type.</v>
      </c>
    </row>
    <row r="19" spans="2:3" x14ac:dyDescent="0.3">
      <c r="B19" t="s">
        <v>17</v>
      </c>
      <c r="C19" t="str" cm="1">
        <f t="array" ref="C19">_xll.RScript.Evaluate(B19)</f>
        <v>plot_data</v>
      </c>
    </row>
    <row r="21" spans="2:3" ht="57.6" x14ac:dyDescent="0.3">
      <c r="B21" s="3" t="s">
        <v>18</v>
      </c>
      <c r="C21" t="str" cm="1">
        <f t="array" ref="C21">_xll.RScript.Evaluate(B21)</f>
        <v>OK</v>
      </c>
    </row>
    <row r="23" spans="2:3" x14ac:dyDescent="0.3">
      <c r="B23" t="s">
        <v>19</v>
      </c>
      <c r="C23" t="str" cm="1">
        <f t="array" ref="C23">_xll.RScript.Evaluate(B23)</f>
        <v>OK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References</vt:lpstr>
      <vt:lpstr>Libraries</vt:lpstr>
      <vt:lpstr>Data</vt:lpstr>
      <vt:lpstr>Predictions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Gladstone</dc:creator>
  <cp:lastModifiedBy>Adam Gladstone</cp:lastModifiedBy>
  <dcterms:created xsi:type="dcterms:W3CDTF">2023-09-20T13:28:41Z</dcterms:created>
  <dcterms:modified xsi:type="dcterms:W3CDTF">2026-09-23T10:46:56Z</dcterms:modified>
</cp:coreProperties>
</file>