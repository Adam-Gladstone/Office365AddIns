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671946CB-F6DF-478D-9FB1-25C3A547E44A}" xr6:coauthVersionLast="47" xr6:coauthVersionMax="47" xr10:uidLastSave="{00000000-0000-0000-0000-000000000000}"/>
  <bookViews>
    <workbookView xWindow="-108" yWindow="-108" windowWidth="23256" windowHeight="12456" activeTab="1" xr2:uid="{5003AA1E-52FB-411B-9B31-43F0075F6D84}"/>
  </bookViews>
  <sheets>
    <sheet name="References" sheetId="1" r:id="rId1"/>
    <sheet name="Libraries" sheetId="3" r:id="rId2"/>
    <sheet name="Descriptive Statistics" sheetId="5" r:id="rId3"/>
    <sheet name="T-test" sheetId="6" r:id="rId4"/>
  </sheets>
  <definedNames>
    <definedName name="Path">'T-test'!$B$3:$C$3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6" l="1" a="1"/>
  <c r="C17" i="6" a="1"/>
  <c r="H5" i="6" a="1"/>
  <c r="C2" i="6" a="1"/>
  <c r="D27" i="5" a="1"/>
  <c r="D26" i="5" a="1"/>
  <c r="D25" i="5" a="1"/>
  <c r="D24" i="5" a="1"/>
  <c r="D22" i="5" a="1"/>
  <c r="D21" i="5" a="1"/>
  <c r="D19" i="5" a="1"/>
  <c r="D18" i="5" a="1"/>
  <c r="D17" i="5" a="1"/>
  <c r="D15" i="5" a="1"/>
  <c r="D13" i="5" a="1"/>
  <c r="D12" i="5" a="1"/>
  <c r="D10" i="5" a="1"/>
  <c r="D6" i="5" a="1"/>
  <c r="D5" i="5" a="1"/>
  <c r="D4" i="5" a="1"/>
  <c r="D3" i="5" a="1"/>
  <c r="D2" i="5" a="1"/>
  <c r="D3" i="3" a="1"/>
  <c r="D4" i="3" a="1"/>
  <c r="D5" i="3" a="1"/>
  <c r="D6" i="3" a="1"/>
  <c r="D7" i="3" a="1"/>
  <c r="D8" i="3" a="1"/>
  <c r="D9" i="3" a="1"/>
  <c r="D10" i="3" a="1"/>
  <c r="D11" i="3" a="1"/>
  <c r="D12" i="3" a="1"/>
  <c r="D13" i="3" a="1"/>
  <c r="D2" i="3" a="1"/>
  <c r="C37" i="6"/>
  <c r="B5" i="6" a="1"/>
  <c r="D37" i="6" a="1"/>
  <c r="C54" i="6" a="1"/>
  <c r="C45" i="6" a="1"/>
  <c r="D45" i="6" a="1"/>
  <c r="C44" i="6" a="1"/>
  <c r="C41" i="6" a="1"/>
  <c r="C39" i="6" a="1"/>
  <c r="C36" i="6" a="1"/>
  <c r="C35" i="6"/>
  <c r="C28" i="6" a="1"/>
  <c r="F5" i="6" a="1"/>
  <c r="D29" i="5" a="1"/>
  <c r="D36" i="6"/>
  <c r="D54" i="6" a="1"/>
  <c r="D39" i="6" a="1"/>
  <c r="I28" i="6" a="1"/>
  <c r="H17" i="6" a="1"/>
  <c r="D28" i="6"/>
  <c r="H28" i="6" a="1"/>
  <c r="I23" i="6" l="1" a="1"/>
  <c r="I25" i="6" a="1"/>
  <c r="I24" i="6" a="1"/>
  <c r="I22" i="6" a="1"/>
  <c r="I26" i="6" a="1"/>
  <c r="I20" i="6" a="1"/>
  <c r="I21" i="6" a="1"/>
  <c r="I19" i="6" a="1"/>
  <c r="I18" i="6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<sst xmlns="http://schemas.openxmlformats.org/spreadsheetml/2006/main" count="47" uniqueCount="47">
  <si>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>library(tidyverse)</t>
  </si>
  <si>
    <t>library(readr)</t>
  </si>
  <si>
    <t>Descriptive Statistics</t>
  </si>
  <si>
    <t>Comparison of StatsLib (native C++ library) and BaseR</t>
  </si>
  <si>
    <t>library(tsibble)</t>
  </si>
  <si>
    <t>library(lubridate)</t>
  </si>
  <si>
    <t>library(ggplot2)</t>
  </si>
  <si>
    <t>library(ggpubr)</t>
  </si>
  <si>
    <t>library(plotly)</t>
  </si>
  <si>
    <t>library(dplyr)</t>
  </si>
  <si>
    <t>library(formattable)</t>
  </si>
  <si>
    <t>library(summarytools)</t>
  </si>
  <si>
    <t>library(moments)</t>
  </si>
  <si>
    <t>library(StatsR)</t>
  </si>
  <si>
    <t>n = 1000</t>
  </si>
  <si>
    <t>data &lt;- rnorm(n = n, mean = 0, sd = 1)</t>
  </si>
  <si>
    <t>obs &lt;- c(1:n)</t>
  </si>
  <si>
    <t>data.df &lt;- data.frame(obs, data)</t>
  </si>
  <si>
    <t>colnames(data.df) &lt;- c("Index", "Value")</t>
  </si>
  <si>
    <t>rownames &lt;- c("Count", "Maximum", "Minimum", "Range", "Kurtosis", "Median", "Mean", "StdDev.S", "Sum", "StdErr", "Variance.S", "Skew")</t>
  </si>
  <si>
    <t>stats &lt;- StatsR::get_descriptive_statistics(data, rownames)</t>
  </si>
  <si>
    <t>stats &lt;- as.data.frame(stats)</t>
  </si>
  <si>
    <t>baseR &lt;- c(skewness(data),
           sum(data), 
           sd(data), 
           kurtosis(data), 
           max(data)-min(data), 
           var(data),
           sqrt(var(data)/length(data)),         
           median(data),           
           min(data), 
           mean(data), 
           max(data), 
           n
         )</t>
  </si>
  <si>
    <t>tolerance = 1e-5</t>
  </si>
  <si>
    <t>values &lt;- stats[[1]]</t>
  </si>
  <si>
    <t>equal &lt;- (values - baseR) &gt;= (tolerance - 0.5)</t>
  </si>
  <si>
    <t>stats &lt;- format(stats, scientific = FALSE, digits=4)</t>
  </si>
  <si>
    <t>baseR &lt;- format(baseR, scientific = FALSE, digits=4)</t>
  </si>
  <si>
    <t>stats.table.df &lt;- data.frame(stats, baseR, equal)</t>
  </si>
  <si>
    <t>names(stats.table.df)[1] &lt;- "StatsR"</t>
  </si>
  <si>
    <t>names(stats.table.df)[2] &lt;- "BaseR"</t>
  </si>
  <si>
    <t>names(stats.table.df)[3] &lt;- "Equal"</t>
  </si>
  <si>
    <t>formattable(stats.table.df, 
            list(StatsR = formatter("span", style = ~formattable::style(color = ifelse(Equal == TRUE, "green", "red"))),
                 BaseR = formatter("span", style = ~formattable::style(color = ifelse(Equal == TRUE, "green", "red"))),
                 Equal = formatter("span", style = ~formattable::style(color = ifelse(Equal == TRUE, "green", "red")))
                 )
            )</t>
  </si>
  <si>
    <t>getwd()</t>
  </si>
  <si>
    <t>Path</t>
  </si>
  <si>
    <t>D:/Development/Projects/C++/SoftwareInteroperability/Data/weight.txt</t>
  </si>
  <si>
    <t>tt = t.test(weight_data$V1, mu = 25)</t>
  </si>
  <si>
    <t>tt1 = StatsR::t_test_one_sample(25, weight_data$V1)</t>
  </si>
  <si>
    <t>moduleStatsTests &lt;- Module("StatsTests", PACKAGE="StatsR")</t>
  </si>
  <si>
    <t>library(Rcpp)</t>
  </si>
  <si>
    <t>ttest0 &lt;- new(moduleStatsTests$TTest, 5, 9.261460, 0.2278881e-01, 195)</t>
  </si>
  <si>
    <t>if(ttest0$Perform()) {
  results &lt;- ttest0$Results()
  print(results)
  results &lt;- as.data.frame(results)
  formattable(results)
} else {
  print("T-test from summary data failed.")
}</t>
  </si>
  <si>
    <t>ttest0$Perform()</t>
  </si>
  <si>
    <t>ttest0$Results()</t>
  </si>
  <si>
    <t>names(ttest0$Results())</t>
  </si>
  <si>
    <t>results &lt;- as.data.frame(ttest0$Results())</t>
  </si>
  <si>
    <t>moduleStatsTests$refClassGenerators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</si>
</sst>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EC1B-E3F8-45B1-89D4-44EAEDC558CB}">
  <dimension ref="B2:C2"/>
  <sheetViews>
    <sheetView workbookViewId="0">
      <selection activeCell="B3" sqref="B3"/>
    </sheetView>
  </sheetViews>
  <sheetFormatPr defaultRowHeight="14.4" x14ac:dyDescent="0.3"/>
  <cols>
    <col min="2" max="2" width="17.88671875" bestFit="1" customWidth="1"/>
  </cols>
  <sheetData>
    <row r="2" spans="2:3" x14ac:dyDescent="0.3">
      <c r="B2" t="s">
        <v>2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3317-D946-4322-9CB8-4E6BA5495368}">
  <dimension ref="B2:D13"/>
  <sheetViews>
    <sheetView tabSelected="1" workbookViewId="0">
      <selection activeCell="C3" sqref="C3"/>
    </sheetView>
  </sheetViews>
  <sheetFormatPr defaultRowHeight="14.4" x14ac:dyDescent="0.3"/>
  <cols>
    <col min="2" max="2" width="19" bestFit="1" customWidth="1"/>
  </cols>
  <sheetData>
    <row r="2" spans="2:4" x14ac:dyDescent="0.3">
      <c r="B2" t="s">
        <v>0</v>
      </c>
      <c r="D2" t="str" cm="1">
        <f t="array" ref="D2">TRANSPOSE(_xll.RScript.Evaluate(B2, TRUE))</f>
        <v>OK</v>
      </c>
    </row>
    <row r="3" spans="2:4" x14ac:dyDescent="0.3">
      <c r="B3" t="s">
        <v>4</v>
      </c>
      <c r="D3" t="str" cm="1">
        <f t="array" ref="D3">TRANSPOSE(_xll.RScript.Evaluate(B3, TRUE))</f>
        <v>OK</v>
      </c>
    </row>
    <row r="4" spans="2:4" x14ac:dyDescent="0.3">
      <c r="B4" t="s">
        <v>5</v>
      </c>
      <c r="D4" t="str" cm="1">
        <f t="array" ref="D4">TRANSPOSE(_xll.RScript.Evaluate(B4, TRUE))</f>
        <v>OK</v>
      </c>
    </row>
    <row r="5" spans="2:4" x14ac:dyDescent="0.3">
      <c r="B5" t="s">
        <v>6</v>
      </c>
      <c r="D5" t="str" cm="1">
        <f t="array" ref="D5">TRANSPOSE(_xll.RScript.Evaluate(B5, TRUE))</f>
        <v>OK</v>
      </c>
    </row>
    <row r="6" spans="2:4" x14ac:dyDescent="0.3">
      <c r="B6" t="s">
        <v>7</v>
      </c>
      <c r="D6" t="str" cm="1">
        <f t="array" ref="D6">TRANSPOSE(_xll.RScript.Evaluate(B6, TRUE))</f>
        <v>OK</v>
      </c>
    </row>
    <row r="7" spans="2:4" x14ac:dyDescent="0.3">
      <c r="B7" t="s">
        <v>8</v>
      </c>
      <c r="D7" t="str" cm="1">
        <f t="array" ref="D7">TRANSPOSE(_xll.RScript.Evaluate(B7, TRUE))</f>
        <v>OK</v>
      </c>
    </row>
    <row r="8" spans="2:4" x14ac:dyDescent="0.3">
      <c r="B8" t="s">
        <v>9</v>
      </c>
      <c r="D8" t="str" cm="1">
        <f t="array" ref="D8">TRANSPOSE(_xll.RScript.Evaluate(B8, TRUE))</f>
        <v>OK</v>
      </c>
    </row>
    <row r="9" spans="2:4" x14ac:dyDescent="0.3">
      <c r="B9" t="s">
        <v>10</v>
      </c>
      <c r="D9" t="str" cm="1">
        <f t="array" ref="D9">TRANSPOSE(_xll.RScript.Evaluate(B9, TRUE))</f>
        <v>OK</v>
      </c>
    </row>
    <row r="10" spans="2:4" x14ac:dyDescent="0.3">
      <c r="B10" t="s">
        <v>11</v>
      </c>
      <c r="D10" t="str" cm="1">
        <f t="array" ref="D10">TRANSPOSE(_xll.RScript.Evaluate(B10, TRUE))</f>
        <v>OK</v>
      </c>
    </row>
    <row r="11" spans="2:4" x14ac:dyDescent="0.3">
      <c r="B11" t="s">
        <v>12</v>
      </c>
      <c r="D11" t="str" cm="1">
        <f t="array" ref="D11">TRANSPOSE(_xll.RScript.Evaluate(B11, TRUE))</f>
        <v>OK</v>
      </c>
    </row>
    <row r="12" spans="2:4" x14ac:dyDescent="0.3">
      <c r="B12" t="s">
        <v>13</v>
      </c>
      <c r="D12" t="str" cm="1">
        <f t="array" ref="D12">TRANSPOSE(_xll.RScript.Evaluate(B12, TRUE))</f>
        <v>OK</v>
      </c>
    </row>
    <row r="13" spans="2:4" x14ac:dyDescent="0.3">
      <c r="B13" t="s">
        <v>1</v>
      </c>
      <c r="D13" t="str" cm="1">
        <f t="array" ref="D13">TRANSPOSE(_xll.RScript.Evaluate(B13, TRUE))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F5B5-0B8A-454D-89D2-3C728DCD4384}">
  <dimension ref="B2:G41"/>
  <sheetViews>
    <sheetView topLeftCell="A29" workbookViewId="0">
      <selection activeCell="D24" sqref="D24"/>
    </sheetView>
  </sheetViews>
  <sheetFormatPr defaultRowHeight="14.4" x14ac:dyDescent="0.3"/>
  <cols>
    <col min="2" max="2" width="51.77734375" customWidth="1"/>
    <col min="4" max="4" width="20.77734375" bestFit="1" customWidth="1"/>
    <col min="5" max="5" width="13.33203125" customWidth="1"/>
    <col min="6" max="6" width="12.44140625" customWidth="1"/>
  </cols>
  <sheetData>
    <row r="2" spans="2:4" x14ac:dyDescent="0.3">
      <c r="B2" t="s">
        <v>14</v>
      </c>
      <c r="D2" t="str" cm="1">
        <f t="array" ref="D2">_xll.RScript.Evaluate(B2)</f>
        <v>n</v>
      </c>
    </row>
    <row r="3" spans="2:4" x14ac:dyDescent="0.3">
      <c r="B3" t="s">
        <v>15</v>
      </c>
      <c r="D3" t="str" cm="1">
        <f t="array" ref="D3">_xll.RScript.Evaluate(B3)</f>
        <v>data</v>
      </c>
    </row>
    <row r="4" spans="2:4" x14ac:dyDescent="0.3">
      <c r="B4" t="s">
        <v>16</v>
      </c>
      <c r="D4" t="str" cm="1">
        <f t="array" ref="D4">_xll.RScript.Evaluate(B4)</f>
        <v>obs</v>
      </c>
    </row>
    <row r="5" spans="2:4" x14ac:dyDescent="0.3">
      <c r="B5" t="s">
        <v>17</v>
      </c>
      <c r="D5" t="str" cm="1">
        <f t="array" ref="D5">_xll.RScript.Evaluate(B5)</f>
        <v>data.df</v>
      </c>
    </row>
    <row r="6" spans="2:4" x14ac:dyDescent="0.3">
      <c r="B6" t="s">
        <v>18</v>
      </c>
      <c r="D6" t="str" cm="1">
        <f t="array" ref="D6">_xll.RScript.Evaluate(B6)</f>
        <v>colnames(data.df)</v>
      </c>
    </row>
    <row r="8" spans="2:4" x14ac:dyDescent="0.3">
      <c r="B8" s="1"/>
    </row>
    <row r="10" spans="2:4" ht="43.2" x14ac:dyDescent="0.3">
      <c r="B10" s="1" t="s">
        <v>19</v>
      </c>
      <c r="D10" t="str" cm="1">
        <f t="array" ref="D10">_xll.RScript.Evaluate(B10)</f>
        <v>rownames</v>
      </c>
    </row>
    <row r="12" spans="2:4" x14ac:dyDescent="0.3">
      <c r="B12" t="s">
        <v>20</v>
      </c>
      <c r="D12" t="str" cm="1">
        <f t="array" ref="D12">_xll.RScript.Evaluate(B12)</f>
        <v>stats</v>
      </c>
    </row>
    <row r="13" spans="2:4" x14ac:dyDescent="0.3">
      <c r="B13" t="s">
        <v>21</v>
      </c>
      <c r="D13" t="str" cm="1">
        <f t="array" ref="D13">_xll.RScript.Evaluate(B13)</f>
        <v>stats</v>
      </c>
    </row>
    <row r="15" spans="2:4" ht="187.2" x14ac:dyDescent="0.3">
      <c r="B15" s="1" t="s">
        <v>22</v>
      </c>
      <c r="D15" t="str" cm="1">
        <f t="array" ref="D15">_xll.RScript.Evaluate(B15)</f>
        <v>baseR</v>
      </c>
    </row>
    <row r="17" spans="2:7" x14ac:dyDescent="0.3">
      <c r="B17" t="s">
        <v>23</v>
      </c>
      <c r="D17" t="str" cm="1">
        <f t="array" ref="D17">_xll.RScript.Evaluate(B17)</f>
        <v>tolerance</v>
      </c>
    </row>
    <row r="18" spans="2:7" x14ac:dyDescent="0.3">
      <c r="B18" t="s">
        <v>24</v>
      </c>
      <c r="D18" t="str" cm="1">
        <f t="array" ref="D18">_xll.RScript.Evaluate(B18)</f>
        <v>values</v>
      </c>
    </row>
    <row r="19" spans="2:7" x14ac:dyDescent="0.3">
      <c r="B19" t="s">
        <v>25</v>
      </c>
      <c r="D19" t="str" cm="1">
        <f t="array" ref="D19">_xll.RScript.Evaluate(B19)</f>
        <v>equal</v>
      </c>
    </row>
    <row r="21" spans="2:7" x14ac:dyDescent="0.3">
      <c r="B21" t="s">
        <v>26</v>
      </c>
      <c r="D21" t="str" cm="1">
        <f t="array" ref="D21">_xll.RScript.Evaluate(B21)</f>
        <v>stats</v>
      </c>
    </row>
    <row r="22" spans="2:7" x14ac:dyDescent="0.3">
      <c r="B22" t="s">
        <v>27</v>
      </c>
      <c r="D22" t="str" cm="1">
        <f t="array" ref="D22">_xll.RScript.Evaluate(B22)</f>
        <v>baseR</v>
      </c>
    </row>
    <row r="24" spans="2:7" x14ac:dyDescent="0.3">
      <c r="B24" t="s">
        <v>28</v>
      </c>
      <c r="D24" t="str" cm="1">
        <f t="array" ref="D24">_xll.RScript.Evaluate(B24)</f>
        <v>stats.table.df</v>
      </c>
    </row>
    <row r="25" spans="2:7" x14ac:dyDescent="0.3">
      <c r="B25" t="s">
        <v>29</v>
      </c>
      <c r="D25" t="str" cm="1">
        <f t="array" ref="D25">_xll.RScript.Evaluate(B25)</f>
        <v>names(stats.table.df)[1]</v>
      </c>
    </row>
    <row r="26" spans="2:7" x14ac:dyDescent="0.3">
      <c r="B26" t="s">
        <v>30</v>
      </c>
      <c r="D26" t="str" cm="1">
        <f t="array" ref="D26">_xll.RScript.Evaluate(B26)</f>
        <v>names(stats.table.df)[2]</v>
      </c>
    </row>
    <row r="27" spans="2:7" x14ac:dyDescent="0.3">
      <c r="B27" t="s">
        <v>31</v>
      </c>
      <c r="D27" t="str" cm="1">
        <f t="array" ref="D27">_xll.RScript.Evaluate(B27)</f>
        <v>names(stats.table.df)[3]</v>
      </c>
    </row>
    <row r="29" spans="2:7" ht="172.8" x14ac:dyDescent="0.3">
      <c r="B29" s="1" t="s">
        <v>32</v>
      </c>
      <c r="D29" t="str" cm="1">
        <f t="array" ref="D29:G41">_xll.RScript.Evaluate(B29)</f>
        <v>Index</v>
      </c>
      <c r="E29" t="str">
        <v>StatsR</v>
      </c>
      <c r="F29" t="str">
        <v>BaseR</v>
      </c>
      <c r="G29" t="str">
        <v>Equal</v>
      </c>
    </row>
    <row r="30" spans="2:7" x14ac:dyDescent="0.3">
      <c r="D30" t="str">
        <v>Skew</v>
      </c>
      <c r="E30" t="str">
        <v xml:space="preserve">  -0.07426</v>
      </c>
      <c r="F30" t="str">
        <v xml:space="preserve">  -0.07426</v>
      </c>
      <c r="G30" t="b">
        <v>1</v>
      </c>
    </row>
    <row r="31" spans="2:7" x14ac:dyDescent="0.3">
      <c r="D31" t="str">
        <v>Sum</v>
      </c>
      <c r="E31" t="str">
        <v xml:space="preserve">  16.87188</v>
      </c>
      <c r="F31" t="str">
        <v xml:space="preserve">  16.87188</v>
      </c>
      <c r="G31" t="b">
        <v>1</v>
      </c>
    </row>
    <row r="32" spans="2:7" x14ac:dyDescent="0.3">
      <c r="D32" t="str">
        <v>StdDev.S</v>
      </c>
      <c r="E32" t="str">
        <v xml:space="preserve">   0.98568</v>
      </c>
      <c r="F32" t="str">
        <v xml:space="preserve">   0.98568</v>
      </c>
      <c r="G32" t="b">
        <v>1</v>
      </c>
    </row>
    <row r="33" spans="4:7" x14ac:dyDescent="0.3">
      <c r="D33" t="str">
        <v>Kurtosis</v>
      </c>
      <c r="E33" t="str">
        <v xml:space="preserve">   2.87484</v>
      </c>
      <c r="F33" t="str">
        <v xml:space="preserve">   2.87484</v>
      </c>
      <c r="G33" t="b">
        <v>1</v>
      </c>
    </row>
    <row r="34" spans="4:7" x14ac:dyDescent="0.3">
      <c r="D34" t="str">
        <v>Range</v>
      </c>
      <c r="E34" t="str">
        <v xml:space="preserve">   6.22225</v>
      </c>
      <c r="F34" t="str">
        <v xml:space="preserve">   6.22225</v>
      </c>
      <c r="G34" t="b">
        <v>1</v>
      </c>
    </row>
    <row r="35" spans="4:7" x14ac:dyDescent="0.3">
      <c r="D35" t="str">
        <v>Variance.S</v>
      </c>
      <c r="E35" t="str">
        <v xml:space="preserve">   0.97156</v>
      </c>
      <c r="F35" t="str">
        <v xml:space="preserve">   0.97156</v>
      </c>
      <c r="G35" t="b">
        <v>1</v>
      </c>
    </row>
    <row r="36" spans="4:7" x14ac:dyDescent="0.3">
      <c r="D36" t="str">
        <v>StdErr</v>
      </c>
      <c r="E36" t="str">
        <v xml:space="preserve">   0.03117</v>
      </c>
      <c r="F36" t="str">
        <v xml:space="preserve">   0.03117</v>
      </c>
      <c r="G36" t="b">
        <v>1</v>
      </c>
    </row>
    <row r="37" spans="4:7" x14ac:dyDescent="0.3">
      <c r="D37" t="str">
        <v>Median</v>
      </c>
      <c r="E37" t="str">
        <v xml:space="preserve">   0.03489</v>
      </c>
      <c r="F37" t="str">
        <v xml:space="preserve">   0.03489</v>
      </c>
      <c r="G37" t="b">
        <v>1</v>
      </c>
    </row>
    <row r="38" spans="4:7" x14ac:dyDescent="0.3">
      <c r="D38" t="str">
        <v>Minimum</v>
      </c>
      <c r="E38" t="str">
        <v xml:space="preserve">  -3.08577</v>
      </c>
      <c r="F38" t="str">
        <v xml:space="preserve">  -3.08577</v>
      </c>
      <c r="G38" t="b">
        <v>1</v>
      </c>
    </row>
    <row r="39" spans="4:7" x14ac:dyDescent="0.3">
      <c r="D39" t="str">
        <v>Mean</v>
      </c>
      <c r="E39" t="str">
        <v xml:space="preserve">   0.01687</v>
      </c>
      <c r="F39" t="str">
        <v xml:space="preserve">   0.01687</v>
      </c>
      <c r="G39" t="b">
        <v>1</v>
      </c>
    </row>
    <row r="40" spans="4:7" x14ac:dyDescent="0.3">
      <c r="D40" t="str">
        <v>Maximum</v>
      </c>
      <c r="E40" t="str">
        <v xml:space="preserve">   3.13648</v>
      </c>
      <c r="F40" t="str">
        <v xml:space="preserve">   3.13648</v>
      </c>
      <c r="G40" t="b">
        <v>1</v>
      </c>
    </row>
    <row r="41" spans="4:7" x14ac:dyDescent="0.3">
      <c r="D41" t="str">
        <v>Count</v>
      </c>
      <c r="E41" t="str">
        <v>1000.00000</v>
      </c>
      <c r="F41" t="str">
        <v>1000.00000</v>
      </c>
      <c r="G41" t="b">
        <v>1</v>
      </c>
    </row>
  </sheetData>
  <conditionalFormatting sqref="G30:G41">
    <cfRule type="cellIs" dxfId="1" priority="1" operator="equal">
      <formula>TRUE</formula>
    </cfRule>
    <cfRule type="containsText" dxfId="0" priority="2" operator="containsText" text="FALSE">
      <formula>NOT(ISERROR(SEARCH("FALSE",G30)))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3475-E80E-4A8B-B566-AB9B31D4D3AC}">
  <dimension ref="B2:J60"/>
  <sheetViews>
    <sheetView workbookViewId="0">
      <selection activeCell="C59" sqref="C59"/>
    </sheetView>
  </sheetViews>
  <sheetFormatPr defaultRowHeight="14.4" x14ac:dyDescent="0.3"/>
  <cols>
    <col min="2" max="2" width="50" customWidth="1"/>
    <col min="3" max="3" width="17.21875" customWidth="1"/>
    <col min="4" max="4" width="12" customWidth="1"/>
    <col min="5" max="5" width="14.33203125" customWidth="1"/>
    <col min="8" max="8" width="10.77734375" customWidth="1"/>
    <col min="9" max="9" width="15.21875" customWidth="1"/>
    <col min="10" max="10" width="12.44140625" customWidth="1"/>
  </cols>
  <sheetData>
    <row r="2" spans="2:9" x14ac:dyDescent="0.3">
      <c r="B2" t="s">
        <v>33</v>
      </c>
      <c r="C2" t="str" cm="1">
        <f t="array" ref="C2">_xll.RScript.Evaluate(B2)</f>
        <v>D:/Development/Projects/C#/Office/Office365 AddIns/ExcelRAddIn/ExcelRAddIn/bin/Debug</v>
      </c>
    </row>
    <row r="3" spans="2:9" x14ac:dyDescent="0.3">
      <c r="B3" t="s">
        <v>34</v>
      </c>
      <c r="C3" t="s">
        <v>35</v>
      </c>
    </row>
    <row r="5" spans="2:9" x14ac:dyDescent="0.3">
      <c r="B5" t="str" cm="1">
        <f t="array" ref="B5:C5">"weight_data &lt;- read.table('"&amp;Path&amp;"')"</f>
        <v>weight_data &lt;- read.table('Path')</v>
      </c>
      <c r="C5" t="str">
        <v>weight_data &lt;- read.table('D:/Development/Projects/C++/SoftwareInteroperability/Data/weight.txt')</v>
      </c>
      <c r="F5" t="str" cm="1">
        <f t="array" ref="F5">_xll.RScript.Evaluate(C5)</f>
        <v>weight_data</v>
      </c>
      <c r="H5" t="str" cm="1">
        <f t="array" ref="H5:I15">_xll.RScript.Evaluate(F5)</f>
        <v>Index</v>
      </c>
      <c r="I5" t="str">
        <v>V1</v>
      </c>
    </row>
    <row r="6" spans="2:9" x14ac:dyDescent="0.3">
      <c r="H6" t="str">
        <v>1</v>
      </c>
      <c r="I6">
        <v>17.600000000000001</v>
      </c>
    </row>
    <row r="7" spans="2:9" x14ac:dyDescent="0.3">
      <c r="H7" t="str">
        <v>2</v>
      </c>
      <c r="I7">
        <v>20.6</v>
      </c>
    </row>
    <row r="8" spans="2:9" x14ac:dyDescent="0.3">
      <c r="H8" t="str">
        <v>3</v>
      </c>
      <c r="I8">
        <v>22.2</v>
      </c>
    </row>
    <row r="9" spans="2:9" x14ac:dyDescent="0.3">
      <c r="H9" t="str">
        <v>4</v>
      </c>
      <c r="I9">
        <v>15.3</v>
      </c>
    </row>
    <row r="10" spans="2:9" x14ac:dyDescent="0.3">
      <c r="H10" t="str">
        <v>5</v>
      </c>
      <c r="I10">
        <v>20.9</v>
      </c>
    </row>
    <row r="11" spans="2:9" x14ac:dyDescent="0.3">
      <c r="H11" t="str">
        <v>6</v>
      </c>
      <c r="I11">
        <v>21</v>
      </c>
    </row>
    <row r="12" spans="2:9" x14ac:dyDescent="0.3">
      <c r="H12" t="str">
        <v>7</v>
      </c>
      <c r="I12">
        <v>18.899999999999999</v>
      </c>
    </row>
    <row r="13" spans="2:9" x14ac:dyDescent="0.3">
      <c r="H13" t="str">
        <v>8</v>
      </c>
      <c r="I13">
        <v>18.899999999999999</v>
      </c>
    </row>
    <row r="14" spans="2:9" x14ac:dyDescent="0.3">
      <c r="H14" t="str">
        <v>9</v>
      </c>
      <c r="I14">
        <v>18.899999999999999</v>
      </c>
    </row>
    <row r="15" spans="2:9" x14ac:dyDescent="0.3">
      <c r="H15" t="str">
        <v>10</v>
      </c>
      <c r="I15">
        <v>18.2</v>
      </c>
    </row>
    <row r="17" spans="2:10" x14ac:dyDescent="0.3">
      <c r="B17" t="s">
        <v>36</v>
      </c>
      <c r="C17" t="str" cm="1">
        <f t="array" ref="C17">_xll.RScript.Evaluate(B17)</f>
        <v>tt</v>
      </c>
      <c r="H17" t="str" cm="1">
        <f t="array" ref="H17:H26">_xll.RScript.Evaluate(C17)</f>
        <v>statistic</v>
      </c>
      <c r="I17" cm="1">
        <f t="array" ref="I17">TRANSPOSE(_xll.RScript.Evaluate($C$17&amp;"$"&amp;H17))</f>
        <v>-9.0783186977580819</v>
      </c>
    </row>
    <row r="18" spans="2:10" x14ac:dyDescent="0.3">
      <c r="H18" t="str">
        <v>parameter</v>
      </c>
      <c r="I18" cm="1">
        <f t="array" ref="I18">TRANSPOSE(_xll.RScript.Evaluate($C$17&amp;"$"&amp;H18))</f>
        <v>9</v>
      </c>
    </row>
    <row r="19" spans="2:10" x14ac:dyDescent="0.3">
      <c r="H19" t="str">
        <v>p.value</v>
      </c>
      <c r="I19" cm="1">
        <f t="array" ref="I19">TRANSPOSE(_xll.RScript.Evaluate($C$17&amp;"$"&amp;H19))</f>
        <v>7.9533834794647202E-6</v>
      </c>
    </row>
    <row r="20" spans="2:10" x14ac:dyDescent="0.3">
      <c r="H20" t="str">
        <v>conf.int</v>
      </c>
      <c r="I20" cm="1">
        <f t="array" ref="I20:J20">TRANSPOSE(_xll.RScript.Evaluate($C$17&amp;"$"&amp;H20))</f>
        <v>17.817201249576986</v>
      </c>
      <c r="J20">
        <v>20.682798750423018</v>
      </c>
    </row>
    <row r="21" spans="2:10" x14ac:dyDescent="0.3">
      <c r="H21" t="str">
        <v>estimate</v>
      </c>
      <c r="I21" cm="1">
        <f t="array" ref="I21">TRANSPOSE(_xll.RScript.Evaluate($C$17&amp;"$"&amp;H21))</f>
        <v>19.25</v>
      </c>
    </row>
    <row r="22" spans="2:10" x14ac:dyDescent="0.3">
      <c r="H22" t="str">
        <v>null.value</v>
      </c>
      <c r="I22" cm="1">
        <f t="array" ref="I22">TRANSPOSE(_xll.RScript.Evaluate($C$17&amp;"$"&amp;H22))</f>
        <v>25</v>
      </c>
    </row>
    <row r="23" spans="2:10" x14ac:dyDescent="0.3">
      <c r="H23" t="str">
        <v>stderr</v>
      </c>
      <c r="I23" cm="1">
        <f t="array" ref="I23">TRANSPOSE(_xll.RScript.Evaluate($C$17&amp;"$"&amp;H23))</f>
        <v>0.63337719146387528</v>
      </c>
    </row>
    <row r="24" spans="2:10" x14ac:dyDescent="0.3">
      <c r="H24" t="str">
        <v>alternative</v>
      </c>
      <c r="I24" t="str" cm="1">
        <f t="array" ref="I24">TRANSPOSE(_xll.RScript.Evaluate($C$17&amp;"$"&amp;H24))</f>
        <v>two.sided</v>
      </c>
    </row>
    <row r="25" spans="2:10" x14ac:dyDescent="0.3">
      <c r="H25" t="str">
        <v>method</v>
      </c>
      <c r="I25" t="str" cm="1">
        <f t="array" ref="I25">TRANSPOSE(_xll.RScript.Evaluate($C$17&amp;"$"&amp;H25))</f>
        <v>One Sample t-test</v>
      </c>
    </row>
    <row r="26" spans="2:10" x14ac:dyDescent="0.3">
      <c r="H26" t="str">
        <v>data.name</v>
      </c>
      <c r="I26" t="str" cm="1">
        <f t="array" ref="I26">TRANSPOSE(_xll.RScript.Evaluate($C$17&amp;"$"&amp;H26))</f>
        <v>weight_data$V1</v>
      </c>
    </row>
    <row r="28" spans="2:10" x14ac:dyDescent="0.3">
      <c r="B28" t="s">
        <v>37</v>
      </c>
      <c r="C28" t="str" cm="1">
        <f t="array" ref="C28">_xll.RScript.Evaluate(B28)</f>
        <v>tt1</v>
      </c>
      <c r="D28" t="str">
        <f>"names("&amp;C28&amp;")"</f>
        <v>names(tt1)</v>
      </c>
      <c r="H28" t="str" cm="1">
        <f t="array" ref="H28:H33">_xll.RScript.Evaluate(D28)</f>
        <v>n1</v>
      </c>
      <c r="I28" cm="1">
        <f t="array" ref="I28:I33">_xll.RScript.Evaluate(C28)</f>
        <v>10</v>
      </c>
    </row>
    <row r="29" spans="2:10" x14ac:dyDescent="0.3">
      <c r="H29" t="str">
        <v>sx1</v>
      </c>
      <c r="I29">
        <v>2.0029145430264035</v>
      </c>
    </row>
    <row r="30" spans="2:10" x14ac:dyDescent="0.3">
      <c r="H30" t="str">
        <v>df</v>
      </c>
      <c r="I30">
        <v>9</v>
      </c>
    </row>
    <row r="31" spans="2:10" x14ac:dyDescent="0.3">
      <c r="H31" t="str">
        <v>x1-bar</v>
      </c>
      <c r="I31">
        <v>19.25</v>
      </c>
    </row>
    <row r="32" spans="2:10" x14ac:dyDescent="0.3">
      <c r="H32" t="str">
        <v>pval</v>
      </c>
      <c r="I32">
        <v>7.9533834794647118E-6</v>
      </c>
    </row>
    <row r="33" spans="2:10" x14ac:dyDescent="0.3">
      <c r="H33" t="str">
        <v>t</v>
      </c>
      <c r="I33">
        <v>-9.0783186977580819</v>
      </c>
    </row>
    <row r="35" spans="2:10" x14ac:dyDescent="0.3">
      <c r="B35" t="s">
        <v>39</v>
      </c>
      <c r="C35" t="str">
        <f>_xlfn.TEXTJOIN(",", TRUE, _xll.RScript.Evaluate(B35))</f>
        <v>Rcpp,tsibble,StatsR,moments,summarytools,formattable,plotly,ggpubr,lubridate,forcats,stringr,dplyr,purrr,readr,tidyr,tibble,ggplot2,tidyverse,stats,graphics,grDevices,utils,datasets,methods,base</v>
      </c>
    </row>
    <row r="36" spans="2:10" x14ac:dyDescent="0.3">
      <c r="B36" t="s">
        <v>38</v>
      </c>
      <c r="C36" t="str" cm="1">
        <f t="array" ref="C36">_xll.RScript.Evaluate(B36)</f>
        <v>moduleStatsTests</v>
      </c>
      <c r="D36" t="str">
        <f>"names("&amp;C36&amp;")"</f>
        <v>names(moduleStatsTests)</v>
      </c>
    </row>
    <row r="37" spans="2:10" x14ac:dyDescent="0.3">
      <c r="B37" t="s">
        <v>46</v>
      </c>
      <c r="C37" t="str">
        <f>"names("&amp;B37&amp;")"</f>
        <v>names(moduleStatsTests$refClassGenerators)</v>
      </c>
      <c r="D37" t="str" cm="1">
        <f t="array" ref="D37">_xll.RScript.Evaluate(C37)</f>
        <v>OK</v>
      </c>
    </row>
    <row r="39" spans="2:10" x14ac:dyDescent="0.3">
      <c r="B39" t="s">
        <v>40</v>
      </c>
      <c r="C39" t="str" cm="1">
        <f t="array" ref="C39">_xll.RScript.Evaluate(B39)</f>
        <v>ttest0</v>
      </c>
      <c r="D39" t="str" cm="1">
        <f t="array" ref="D39:J39">TRANSPOSE(_xll.RScript.Evaluate("names("&amp;C39&amp;")"))</f>
        <v>.self</v>
      </c>
      <c r="E39" t="str">
        <v>.module</v>
      </c>
      <c r="F39" t="str">
        <v>.pointer</v>
      </c>
      <c r="G39" t="str">
        <v>.refClassDef</v>
      </c>
      <c r="H39" t="str">
        <v>.cppclass</v>
      </c>
      <c r="I39" t="str">
        <v>initialize</v>
      </c>
      <c r="J39" t="str">
        <v>finalize</v>
      </c>
    </row>
    <row r="41" spans="2:10" ht="129.6" x14ac:dyDescent="0.3">
      <c r="B41" s="1" t="s">
        <v>41</v>
      </c>
      <c r="C41" t="str" cm="1">
        <f t="array" ref="C41">_xll.RScript.Evaluate(B41)</f>
        <v>Exception: Status Error for typeof(if(ttest0$Perform()) {
  results)
 : unexpected ')'</v>
      </c>
    </row>
    <row r="42" spans="2:10" x14ac:dyDescent="0.3">
      <c r="B42" s="1"/>
    </row>
    <row r="44" spans="2:10" x14ac:dyDescent="0.3">
      <c r="B44" t="s">
        <v>42</v>
      </c>
      <c r="C44" t="b" cm="1">
        <f t="array" ref="C44">_xll.RScript.Evaluate(B44)</f>
        <v>1</v>
      </c>
    </row>
    <row r="45" spans="2:10" x14ac:dyDescent="0.3">
      <c r="B45" t="s">
        <v>43</v>
      </c>
      <c r="C45" t="str" cm="1">
        <f t="array" ref="C45:C50">_xll.RScript.Evaluate(B46)</f>
        <v>n1</v>
      </c>
      <c r="D45" cm="1">
        <f t="array" ref="D45:D50">_xll.RScript.Evaluate(B45)</f>
        <v>195</v>
      </c>
    </row>
    <row r="46" spans="2:10" x14ac:dyDescent="0.3">
      <c r="B46" t="s">
        <v>44</v>
      </c>
      <c r="C46" t="str">
        <v>sx1</v>
      </c>
      <c r="D46">
        <v>2.278881E-2</v>
      </c>
    </row>
    <row r="47" spans="2:10" x14ac:dyDescent="0.3">
      <c r="C47" t="str">
        <v>df</v>
      </c>
      <c r="D47">
        <v>194</v>
      </c>
    </row>
    <row r="48" spans="2:10" x14ac:dyDescent="0.3">
      <c r="C48" t="str">
        <v>x1-bar</v>
      </c>
      <c r="D48">
        <v>9.2614599999999996</v>
      </c>
    </row>
    <row r="49" spans="2:5" x14ac:dyDescent="0.3">
      <c r="C49" t="str">
        <v>pval</v>
      </c>
      <c r="D49">
        <v>0</v>
      </c>
    </row>
    <row r="50" spans="2:5" x14ac:dyDescent="0.3">
      <c r="C50" t="str">
        <v>t</v>
      </c>
      <c r="D50">
        <v>2611.2838001159162</v>
      </c>
    </row>
    <row r="54" spans="2:5" x14ac:dyDescent="0.3">
      <c r="B54" t="s">
        <v>45</v>
      </c>
      <c r="C54" t="str" cm="1">
        <f t="array" ref="C54">_xll.RScript.Evaluate(B54)</f>
        <v>results</v>
      </c>
      <c r="D54" t="str" cm="1">
        <f t="array" ref="D54:E60">_xll.RScript.Evaluate(C54)</f>
        <v>Index</v>
      </c>
      <c r="E54" t="str">
        <v>results</v>
      </c>
    </row>
    <row r="55" spans="2:5" x14ac:dyDescent="0.3">
      <c r="D55" t="str">
        <v>n1</v>
      </c>
      <c r="E55">
        <v>195</v>
      </c>
    </row>
    <row r="56" spans="2:5" x14ac:dyDescent="0.3">
      <c r="D56" t="str">
        <v>sx1</v>
      </c>
      <c r="E56">
        <v>2.278881E-2</v>
      </c>
    </row>
    <row r="57" spans="2:5" x14ac:dyDescent="0.3">
      <c r="D57" t="str">
        <v>df</v>
      </c>
      <c r="E57">
        <v>194</v>
      </c>
    </row>
    <row r="58" spans="2:5" x14ac:dyDescent="0.3">
      <c r="D58" t="str">
        <v>x1-bar</v>
      </c>
      <c r="E58">
        <v>9.2614599999999996</v>
      </c>
    </row>
    <row r="59" spans="2:5" x14ac:dyDescent="0.3">
      <c r="D59" t="str">
        <v>pval</v>
      </c>
      <c r="E59">
        <v>0</v>
      </c>
    </row>
    <row r="60" spans="2:5" x14ac:dyDescent="0.3">
      <c r="D60" t="str">
        <v>t</v>
      </c>
      <c r="E60">
        <v>2611.2838001159162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References</vt:lpstr>
      <vt:lpstr>Libraries</vt:lpstr>
      <vt:lpstr>Descriptive Statistics</vt:lpstr>
      <vt:lpstr>T-test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2023-09-19T13:23:56Z</dcterms:created>
  <dcterms:modified xsi:type="dcterms:W3CDTF">2026-09-23T10:56:25Z</dcterms:modified>
</cp:coreProperties>
</file>